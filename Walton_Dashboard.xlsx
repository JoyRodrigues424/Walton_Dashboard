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!Skills &amp; projects\Walton Project\"/>
    </mc:Choice>
  </mc:AlternateContent>
  <xr:revisionPtr revIDLastSave="0" documentId="13_ncr:1_{3D6BF00A-9DC6-4AD9-AAAF-10AA038B150F}" xr6:coauthVersionLast="47" xr6:coauthVersionMax="47" xr10:uidLastSave="{00000000-0000-0000-0000-000000000000}"/>
  <bookViews>
    <workbookView xWindow="-108" yWindow="-108" windowWidth="23256" windowHeight="12456" xr2:uid="{FA5162BB-E519-4C55-9BF8-8FF31B0E3FC3}"/>
  </bookViews>
  <sheets>
    <sheet name="Dashboard" sheetId="16" r:id="rId1"/>
    <sheet name="Key_P_I" sheetId="17" r:id="rId2"/>
    <sheet name="Profit or loss" sheetId="4" r:id="rId3"/>
    <sheet name="Financial Statement" sheetId="3" r:id="rId4"/>
    <sheet name="Cash flow" sheetId="2" r:id="rId5"/>
    <sheet name="Growth" sheetId="10" state="hidden" r:id="rId6"/>
    <sheet name="Calc" sheetId="14" state="hidden" r:id="rId7"/>
    <sheet name="KPI" sheetId="12" state="hidden" r:id="rId8"/>
    <sheet name="Sheet5" sheetId="1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" i="12" l="1"/>
  <c r="E30" i="12"/>
  <c r="C30" i="12"/>
  <c r="C28" i="12"/>
  <c r="Q13" i="16"/>
  <c r="Q14" i="16"/>
  <c r="Q15" i="16"/>
  <c r="Q16" i="16"/>
  <c r="Q17" i="16"/>
  <c r="Q12" i="16"/>
  <c r="S10" i="16"/>
  <c r="K22" i="14"/>
  <c r="S17" i="16" s="1"/>
  <c r="K21" i="14"/>
  <c r="S16" i="16" s="1"/>
  <c r="K20" i="14"/>
  <c r="S15" i="16" s="1"/>
  <c r="K19" i="14"/>
  <c r="S14" i="16" s="1"/>
  <c r="K18" i="14"/>
  <c r="S13" i="16" s="1"/>
  <c r="K15" i="14"/>
  <c r="N17" i="16" s="1"/>
  <c r="K17" i="14"/>
  <c r="S12" i="16" s="1"/>
  <c r="K13" i="14"/>
  <c r="K12" i="14"/>
  <c r="K11" i="14"/>
  <c r="K10" i="14"/>
  <c r="K9" i="14"/>
  <c r="L10" i="12"/>
  <c r="L9" i="12"/>
  <c r="L8" i="12"/>
  <c r="L7" i="12"/>
  <c r="L6" i="12"/>
  <c r="L5" i="12"/>
  <c r="N10" i="16"/>
  <c r="N13" i="16"/>
  <c r="N14" i="16"/>
  <c r="N15" i="16"/>
  <c r="N16" i="16"/>
  <c r="N12" i="16"/>
  <c r="I7" i="12"/>
  <c r="J7" i="12"/>
  <c r="I8" i="12"/>
  <c r="J8" i="12"/>
  <c r="I9" i="12"/>
  <c r="J9" i="12"/>
  <c r="H8" i="12"/>
  <c r="H7" i="12"/>
  <c r="D3" i="12"/>
  <c r="E3" i="12"/>
  <c r="D4" i="12"/>
  <c r="E4" i="12"/>
  <c r="C4" i="12"/>
  <c r="C3" i="12"/>
  <c r="E39" i="12"/>
  <c r="D39" i="12"/>
  <c r="C39" i="12"/>
  <c r="E38" i="12"/>
  <c r="D38" i="12"/>
  <c r="C38" i="12"/>
  <c r="E37" i="12"/>
  <c r="D37" i="12"/>
  <c r="C37" i="12"/>
  <c r="E34" i="12"/>
  <c r="D34" i="12"/>
  <c r="C34" i="12"/>
  <c r="E32" i="12"/>
  <c r="D32" i="12"/>
  <c r="C32" i="12"/>
  <c r="E31" i="12"/>
  <c r="D30" i="12"/>
  <c r="D31" i="12" s="1"/>
  <c r="E28" i="12"/>
  <c r="E29" i="12" s="1"/>
  <c r="D28" i="12"/>
  <c r="D29" i="12" s="1"/>
  <c r="C29" i="12"/>
  <c r="C31" i="12" s="1"/>
  <c r="E27" i="12"/>
  <c r="D27" i="12"/>
  <c r="C27" i="12"/>
  <c r="E25" i="12"/>
  <c r="D25" i="12"/>
  <c r="C25" i="12"/>
  <c r="E24" i="12"/>
  <c r="D24" i="12"/>
  <c r="C24" i="12"/>
  <c r="E23" i="12"/>
  <c r="D23" i="12"/>
  <c r="C23" i="12"/>
  <c r="E21" i="12"/>
  <c r="D21" i="12"/>
  <c r="C21" i="12"/>
  <c r="E20" i="12"/>
  <c r="D20" i="12"/>
  <c r="C20" i="12"/>
  <c r="E19" i="12"/>
  <c r="D19" i="12"/>
  <c r="C19" i="12"/>
  <c r="E17" i="12"/>
  <c r="D17" i="12"/>
  <c r="C17" i="12"/>
  <c r="E16" i="12"/>
  <c r="D16" i="12"/>
  <c r="C16" i="12"/>
  <c r="E15" i="12"/>
  <c r="D15" i="12"/>
  <c r="C15" i="12"/>
  <c r="E14" i="12"/>
  <c r="D14" i="12"/>
  <c r="C14" i="12"/>
  <c r="E13" i="12"/>
  <c r="D13" i="12"/>
  <c r="C13" i="12"/>
  <c r="E11" i="12"/>
  <c r="D11" i="12"/>
  <c r="C11" i="12"/>
  <c r="E10" i="12"/>
  <c r="D10" i="12"/>
  <c r="C10" i="12"/>
  <c r="E9" i="12"/>
  <c r="D9" i="12"/>
  <c r="C9" i="12"/>
  <c r="E8" i="12"/>
  <c r="D8" i="12"/>
  <c r="C8" i="12"/>
  <c r="E7" i="12"/>
  <c r="D7" i="12"/>
  <c r="C7" i="12"/>
  <c r="E6" i="12"/>
  <c r="D6" i="12"/>
  <c r="C6" i="12"/>
  <c r="E5" i="12"/>
  <c r="D5" i="12"/>
  <c r="C5" i="12"/>
  <c r="C37" i="10"/>
  <c r="D37" i="10"/>
  <c r="E37" i="10"/>
  <c r="B37" i="10"/>
  <c r="C36" i="10"/>
  <c r="D36" i="10"/>
  <c r="E36" i="10"/>
  <c r="B36" i="10"/>
  <c r="C35" i="10"/>
  <c r="D35" i="10"/>
  <c r="E35" i="10"/>
  <c r="B35" i="10"/>
  <c r="C34" i="10"/>
  <c r="D34" i="10"/>
  <c r="E34" i="10"/>
  <c r="B34" i="10"/>
  <c r="C28" i="10"/>
  <c r="B28" i="10"/>
  <c r="C32" i="10"/>
  <c r="C33" i="10" s="1"/>
  <c r="D32" i="10"/>
  <c r="D33" i="10" s="1"/>
  <c r="E32" i="10"/>
  <c r="E33" i="10" s="1"/>
  <c r="B32" i="10"/>
  <c r="B33" i="10" s="1"/>
  <c r="C30" i="10"/>
  <c r="D30" i="10"/>
  <c r="B30" i="10"/>
  <c r="C29" i="10"/>
  <c r="D29" i="10"/>
  <c r="B29" i="10"/>
  <c r="D28" i="10"/>
  <c r="C27" i="10"/>
  <c r="D27" i="10"/>
  <c r="B27" i="10"/>
  <c r="C26" i="10"/>
  <c r="D26" i="10"/>
  <c r="B26" i="10"/>
  <c r="C25" i="10"/>
  <c r="D25" i="10"/>
  <c r="B25" i="10"/>
  <c r="C23" i="10"/>
  <c r="D23" i="10"/>
  <c r="E23" i="10"/>
  <c r="B23" i="10"/>
  <c r="C29" i="4"/>
  <c r="D29" i="4"/>
  <c r="E29" i="4"/>
  <c r="B29" i="4"/>
  <c r="C22" i="10"/>
  <c r="D22" i="10"/>
  <c r="E22" i="10"/>
  <c r="B22" i="10"/>
  <c r="C21" i="10"/>
  <c r="D21" i="10"/>
  <c r="E21" i="10"/>
  <c r="B21" i="10"/>
  <c r="C42" i="3"/>
  <c r="D42" i="3"/>
  <c r="E42" i="3"/>
  <c r="B42" i="3"/>
  <c r="E19" i="10"/>
  <c r="C19" i="10"/>
  <c r="D19" i="10"/>
  <c r="B19" i="10"/>
  <c r="E17" i="10"/>
  <c r="C18" i="10"/>
  <c r="D18" i="10"/>
  <c r="E18" i="10"/>
  <c r="B18" i="10"/>
  <c r="C17" i="10"/>
  <c r="D17" i="10"/>
  <c r="B17" i="10"/>
  <c r="B11" i="10"/>
  <c r="C11" i="10"/>
  <c r="D11" i="10"/>
  <c r="B12" i="10"/>
  <c r="C12" i="10"/>
  <c r="D12" i="10"/>
  <c r="B13" i="10"/>
  <c r="C13" i="10"/>
  <c r="D13" i="10"/>
  <c r="B14" i="10"/>
  <c r="C14" i="10"/>
  <c r="D14" i="10"/>
  <c r="B15" i="10"/>
  <c r="C15" i="10"/>
  <c r="D15" i="10"/>
  <c r="D9" i="10"/>
  <c r="C9" i="10"/>
  <c r="B9" i="10"/>
  <c r="C8" i="10"/>
  <c r="D8" i="10"/>
  <c r="B8" i="10"/>
  <c r="C7" i="10"/>
  <c r="D7" i="10"/>
  <c r="B7" i="10"/>
  <c r="C6" i="10"/>
  <c r="D6" i="10"/>
  <c r="B6" i="10"/>
  <c r="C5" i="10"/>
  <c r="D5" i="10"/>
  <c r="B5" i="10"/>
  <c r="C4" i="10"/>
  <c r="D4" i="10"/>
  <c r="B4" i="10"/>
  <c r="C3" i="10"/>
  <c r="D3" i="10"/>
  <c r="B3" i="10"/>
  <c r="C36" i="12" l="1"/>
  <c r="C35" i="12"/>
  <c r="D36" i="12"/>
  <c r="D35" i="12"/>
  <c r="E36" i="12"/>
  <c r="E35" i="12"/>
</calcChain>
</file>

<file path=xl/sharedStrings.xml><?xml version="1.0" encoding="utf-8"?>
<sst xmlns="http://schemas.openxmlformats.org/spreadsheetml/2006/main" count="479" uniqueCount="193">
  <si>
    <t>Particulars</t>
  </si>
  <si>
    <t>01 Jul 2024 to 30 June 2025</t>
  </si>
  <si>
    <t>01 Jul 2023 to 30 June 2024</t>
  </si>
  <si>
    <t>A. Cash Flows from Operating Activities</t>
  </si>
  <si>
    <t>Received from Customers</t>
  </si>
  <si>
    <t>Received from Other Income</t>
  </si>
  <si>
    <t>Total Received</t>
  </si>
  <si>
    <t>Payment to Suppliers and Others</t>
  </si>
  <si>
    <t>Payment to Employees</t>
  </si>
  <si>
    <t>Payment for WPPF</t>
  </si>
  <si>
    <t>Total Payment</t>
  </si>
  <si>
    <t>Cash Generated from Operating Activities</t>
  </si>
  <si>
    <t>Payment against Tax and VAT</t>
  </si>
  <si>
    <t>Net Cash Generated from Operating Activities</t>
  </si>
  <si>
    <t>B. Cash Flows from Investing Activities</t>
  </si>
  <si>
    <t>Acquisition of Property Plant and Equipment and other Non-Current Assets</t>
  </si>
  <si>
    <t>Acquisition of Intangible Assets</t>
  </si>
  <si>
    <t>Proceeds from Sale of Property Plant and Equipment</t>
  </si>
  <si>
    <t>Encashment/ (Payment) of Short Term Investment Net</t>
  </si>
  <si>
    <t>Encashment/ (Payment) of Investments in Securities</t>
  </si>
  <si>
    <t>Interest Received from FDR and STD</t>
  </si>
  <si>
    <t>Received from Dividend and Other Investment Income</t>
  </si>
  <si>
    <t>Net Cash Used in Investing Activities</t>
  </si>
  <si>
    <t>C. Cash Flows from Financing Activities</t>
  </si>
  <si>
    <t>Received from UNDP</t>
  </si>
  <si>
    <t>Dividend Paid</t>
  </si>
  <si>
    <t>Unclaimed Dividend Paid</t>
  </si>
  <si>
    <t>Payment Lease Liability (Principal)</t>
  </si>
  <si>
    <t>Payment for Financial Costs and Lease Interest</t>
  </si>
  <si>
    <t>Long Term Loan-Received/(Repaid) Net</t>
  </si>
  <si>
    <t>Short Term Loan-Received/(Repaid) Net</t>
  </si>
  <si>
    <t>Net Cash Used in Financing Activities</t>
  </si>
  <si>
    <t>D. Net Increase/ (Decrease) in Cash and Cash Equivalents (A+B+C)</t>
  </si>
  <si>
    <t>E. Cash and Cash Equivalents at Beginning of the Year</t>
  </si>
  <si>
    <t>F. Cash and Cash Equivalents at End of the Year (D+E)</t>
  </si>
  <si>
    <t>30 June 2025 Amount in Taka</t>
  </si>
  <si>
    <t>30 June 2024 Amount in Taka</t>
  </si>
  <si>
    <t>ASSETS</t>
  </si>
  <si>
    <t>Non-Current Assets</t>
  </si>
  <si>
    <t>Property Plant and Equipment</t>
  </si>
  <si>
    <t>Intangible Assets</t>
  </si>
  <si>
    <t>Other Non-Current Assets</t>
  </si>
  <si>
    <t>Right of Use Assets</t>
  </si>
  <si>
    <t>Total Non-Current Assets</t>
  </si>
  <si>
    <t>Current Assets</t>
  </si>
  <si>
    <t>Inventories</t>
  </si>
  <si>
    <t>Trade and Other Receivables</t>
  </si>
  <si>
    <t>Advances Deposits and Prepayments</t>
  </si>
  <si>
    <t>Investment in Securities</t>
  </si>
  <si>
    <t>Short Term investments</t>
  </si>
  <si>
    <t>Cash and Cash Equivalents</t>
  </si>
  <si>
    <t>Total Current Assets</t>
  </si>
  <si>
    <t>TOTAL ASSETS</t>
  </si>
  <si>
    <t>EQUITY AND LIABILITIES</t>
  </si>
  <si>
    <t>Shareholders' Equity</t>
  </si>
  <si>
    <t>Share Capital</t>
  </si>
  <si>
    <t>Share Premium</t>
  </si>
  <si>
    <t>Retained Earnings</t>
  </si>
  <si>
    <t>Revaluation Reserve</t>
  </si>
  <si>
    <t>Total Shareholders' Equity</t>
  </si>
  <si>
    <t>Non-Current Liabilities</t>
  </si>
  <si>
    <t>Long Term Loan</t>
  </si>
  <si>
    <t>UNDP Fund</t>
  </si>
  <si>
    <t>Lease Liability</t>
  </si>
  <si>
    <t>Deferred Tax Liabilities Net</t>
  </si>
  <si>
    <t>Total Non-Current Liabilities</t>
  </si>
  <si>
    <t>Current Liabilities</t>
  </si>
  <si>
    <t>Trade and Other Payables</t>
  </si>
  <si>
    <t>Short Term Loan</t>
  </si>
  <si>
    <t>Long Term Loan-Current Portion</t>
  </si>
  <si>
    <t>Lease Liability-Current Portion</t>
  </si>
  <si>
    <t>Unclaimed Dividend</t>
  </si>
  <si>
    <t>Provisions and Accruals</t>
  </si>
  <si>
    <t>Total Current Liabilities</t>
  </si>
  <si>
    <t>TOTAL EQUITY AND LIABILITIES</t>
  </si>
  <si>
    <t>Net Assets Value (NAV) Per Share without Revaluation</t>
  </si>
  <si>
    <t>Net Assets Value (NAV) Per Share with Revaluation</t>
  </si>
  <si>
    <t>01 July 2024 to 30 June 2025</t>
  </si>
  <si>
    <t>01 July 2023 to 30 June 2024</t>
  </si>
  <si>
    <t>Revenue Net</t>
  </si>
  <si>
    <t>Cost of Goods Sold</t>
  </si>
  <si>
    <t>Gross Profit</t>
  </si>
  <si>
    <t>Operating Expenses</t>
  </si>
  <si>
    <t>Administrative Expenses</t>
  </si>
  <si>
    <t>Selling &amp; Distribution Expenses</t>
  </si>
  <si>
    <t>Total Operating Expenses</t>
  </si>
  <si>
    <t>Operating Profit</t>
  </si>
  <si>
    <t>Finance Income</t>
  </si>
  <si>
    <t>Finance Costs</t>
  </si>
  <si>
    <t>Net Finance Costs</t>
  </si>
  <si>
    <t>Profit after Finance Costs</t>
  </si>
  <si>
    <t>Non-Operating Income / (Expenses)</t>
  </si>
  <si>
    <t>Profit before WPPF &amp; Tax</t>
  </si>
  <si>
    <t>Contribution to WPPF</t>
  </si>
  <si>
    <t>Profit before Tax</t>
  </si>
  <si>
    <t>Income Tax Expense</t>
  </si>
  <si>
    <t>Current Tax (Expense) / Income</t>
  </si>
  <si>
    <t>Deferred Tax (Expense) / Income Net</t>
  </si>
  <si>
    <t>Total Income Tax Expense</t>
  </si>
  <si>
    <t>Profit / (Loss) after Tax</t>
  </si>
  <si>
    <t>Other Comprehensive Income</t>
  </si>
  <si>
    <t>Gain on revaluation of property plant and equipment</t>
  </si>
  <si>
    <t>Related Tax</t>
  </si>
  <si>
    <t>Other Comprehensive Income net of Tax</t>
  </si>
  <si>
    <t>Total Comprehensive Income</t>
  </si>
  <si>
    <t>Earnings Per Share (EPS)</t>
  </si>
  <si>
    <t>01 Jul 2022 to 30
June 2023</t>
  </si>
  <si>
    <t>01 Jul 2021 to 30
June 2022</t>
  </si>
  <si>
    <t>30 June 2023</t>
  </si>
  <si>
    <t>30 June 2022</t>
  </si>
  <si>
    <t>01 July 2022 to
30 June 2023</t>
  </si>
  <si>
    <t>01 July 2021 to
30 June 2022</t>
  </si>
  <si>
    <t>Growth</t>
  </si>
  <si>
    <t>Particular</t>
  </si>
  <si>
    <t xml:space="preserve">Revenue growth </t>
  </si>
  <si>
    <t>Gross Profit Growth</t>
  </si>
  <si>
    <t>Operating Profit Growth</t>
  </si>
  <si>
    <t>Net Profit Growth</t>
  </si>
  <si>
    <t>Asset Growth</t>
  </si>
  <si>
    <t>Equity Growth</t>
  </si>
  <si>
    <t>Operating Cash Flow Growth</t>
  </si>
  <si>
    <t>Net Profit margin</t>
  </si>
  <si>
    <t>Gross profit Margin</t>
  </si>
  <si>
    <t>Operating Profit Margin</t>
  </si>
  <si>
    <t>Return on Asset</t>
  </si>
  <si>
    <t>Return on Equity</t>
  </si>
  <si>
    <t>Ratios</t>
  </si>
  <si>
    <t>Liquidity</t>
  </si>
  <si>
    <t>Current Ratio</t>
  </si>
  <si>
    <t>Acid Ratio</t>
  </si>
  <si>
    <t>Cash ratio</t>
  </si>
  <si>
    <t>Total Debt</t>
  </si>
  <si>
    <t>Solvency</t>
  </si>
  <si>
    <t>Debt to equity Ratio</t>
  </si>
  <si>
    <t>Debt ratio</t>
  </si>
  <si>
    <t>EBIT</t>
  </si>
  <si>
    <t>Interest Coverage</t>
  </si>
  <si>
    <t>note: EBIT=PBT+Finance Cost</t>
  </si>
  <si>
    <t>Effeciency Ratio</t>
  </si>
  <si>
    <t>Asset Turnover</t>
  </si>
  <si>
    <t>Inventory Turnover</t>
  </si>
  <si>
    <t>Inventory Days</t>
  </si>
  <si>
    <t>Revievable Turnover</t>
  </si>
  <si>
    <t>Recievable Days</t>
  </si>
  <si>
    <t>Payable Days</t>
  </si>
  <si>
    <t>Cash flow analysis</t>
  </si>
  <si>
    <t xml:space="preserve">Operating Cash Flow </t>
  </si>
  <si>
    <t>Operating cash flow margin</t>
  </si>
  <si>
    <t>Free Cash Flow</t>
  </si>
  <si>
    <t>Cash flow from investment Activities</t>
  </si>
  <si>
    <t>Cash flow from Financing Activities</t>
  </si>
  <si>
    <t>CFO/Net profit</t>
  </si>
  <si>
    <t>Category</t>
  </si>
  <si>
    <t>Profitability</t>
  </si>
  <si>
    <t>&gt;</t>
  </si>
  <si>
    <t>Dashboard</t>
  </si>
  <si>
    <t>Walton Hi-Tech Industry</t>
  </si>
  <si>
    <t>Year:</t>
  </si>
  <si>
    <t>Revenue</t>
  </si>
  <si>
    <t>Net Margin</t>
  </si>
  <si>
    <t>Net Profit</t>
  </si>
  <si>
    <t xml:space="preserve">Revenue  </t>
  </si>
  <si>
    <t>net Profit</t>
  </si>
  <si>
    <t>ROE</t>
  </si>
  <si>
    <t>Operating Cash Flow</t>
  </si>
  <si>
    <t>Debt to equity</t>
  </si>
  <si>
    <t>Operating CF</t>
  </si>
  <si>
    <t>Investing CF</t>
  </si>
  <si>
    <t>Financing CF</t>
  </si>
  <si>
    <t>Financial Health</t>
  </si>
  <si>
    <t>Selected Year:</t>
  </si>
  <si>
    <t>Indicators</t>
  </si>
  <si>
    <t>Performance</t>
  </si>
  <si>
    <t>Cash Ratio</t>
  </si>
  <si>
    <t>Operating CF Margin</t>
  </si>
  <si>
    <t>Effeciency</t>
  </si>
  <si>
    <t>Key Financial Insights</t>
  </si>
  <si>
    <t xml:space="preserve">Revenue rose to 13.18% in 2024 before falling to 5.72% in 2025. </t>
  </si>
  <si>
    <t>Liquidity improved as current ratio increased from 1.96X to 2.55x</t>
  </si>
  <si>
    <t>Financial leverage declined with DTE falling from 0.3x to 0.22</t>
  </si>
  <si>
    <t>Cash Flow</t>
  </si>
  <si>
    <t>Operating Cash flow remained positive at 17.63B.</t>
  </si>
  <si>
    <t>Efficiency</t>
  </si>
  <si>
    <t>Receivable Turnover</t>
  </si>
  <si>
    <t>Receivable Days</t>
  </si>
  <si>
    <t>Interest Coverage.</t>
  </si>
  <si>
    <t>CF characterstics</t>
  </si>
  <si>
    <t>Asset turnover improved slightly from 0.43x to 0.45x</t>
  </si>
  <si>
    <t>Profitability  fell with net margin lowering to 14.64%. From 18% in 2024</t>
  </si>
  <si>
    <t>&lt;—*Please select the Year By clicking here</t>
  </si>
  <si>
    <t>2025</t>
  </si>
  <si>
    <t>2024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</si>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</sst>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,,,&quot;B&quot;"/>
    <numFmt numFmtId="165" formatCode="&quot;$&quot;#,##0.00,,,&quot;B&quot;"/>
    <numFmt numFmtId="166" formatCode="&quot;$&quot;#,##0.000,,,&quot;B&quot;"/>
    <numFmt numFmtId="167" formatCode="_([$BDT]\ * #,##0.00_);_([$BDT]\ * \(#,##0.00\);_([$BDT]\ * &quot;-&quot;??_);_(@_)"/>
  </numFmts>
  <fonts count="15" x14ac:knownFonts="1">
    <font>
      <sz val="11"/>
      <color theme="1"/>
      <name val="lexend"/>
      <family val="2"/>
    </font>
    <font>
      <sz val="11"/>
      <color theme="1"/>
      <name val="lexend"/>
      <family val="2"/>
    </font>
    <font>
      <b/>
      <sz val="11"/>
      <color theme="0"/>
      <name val="lexend"/>
      <family val="2"/>
    </font>
    <font>
      <b/>
      <sz val="11"/>
      <color theme="1"/>
      <name val="lexend"/>
      <family val="2"/>
    </font>
    <font>
      <sz val="8"/>
      <name val="lexend"/>
      <family val="2"/>
    </font>
    <font>
      <b/>
      <sz val="11"/>
      <color theme="1"/>
      <name val="Lexend"/>
    </font>
    <font>
      <b/>
      <sz val="11"/>
      <name val="Lexend"/>
    </font>
    <font>
      <b/>
      <sz val="11"/>
      <name val="lexend"/>
      <family val="2"/>
    </font>
    <font>
      <b/>
      <sz val="11"/>
      <color rgb="FF000000"/>
      <name val="Lexend"/>
    </font>
    <font>
      <sz val="11"/>
      <color rgb="FF000000"/>
      <name val="Lexend"/>
      <family val="2"/>
    </font>
    <font>
      <sz val="22"/>
      <color theme="1"/>
      <name val="Lexend"/>
    </font>
    <font>
      <sz val="11"/>
      <color theme="1"/>
      <name val="Lexend"/>
    </font>
    <font>
      <sz val="22"/>
      <color theme="0"/>
      <name val="Lexend"/>
    </font>
    <font>
      <b/>
      <sz val="11"/>
      <color theme="0"/>
      <name val="Lexend"/>
    </font>
    <font>
      <b/>
      <sz val="18"/>
      <color theme="0"/>
      <name val="Lexend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1B365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E0E0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44" fontId="0" fillId="0" borderId="0" xfId="0" applyNumberFormat="1"/>
    <xf numFmtId="44" fontId="5" fillId="0" borderId="0" xfId="0" applyNumberFormat="1" applyFont="1"/>
    <xf numFmtId="0" fontId="5" fillId="0" borderId="0" xfId="0" applyFont="1"/>
    <xf numFmtId="0" fontId="6" fillId="0" borderId="0" xfId="0" applyFont="1"/>
    <xf numFmtId="10" fontId="0" fillId="0" borderId="0" xfId="1" applyNumberFormat="1" applyFont="1"/>
    <xf numFmtId="0" fontId="2" fillId="2" borderId="4" xfId="0" applyFont="1" applyFill="1" applyBorder="1"/>
    <xf numFmtId="44" fontId="2" fillId="2" borderId="5" xfId="0" applyNumberFormat="1" applyFont="1" applyFill="1" applyBorder="1"/>
    <xf numFmtId="44" fontId="2" fillId="2" borderId="6" xfId="0" applyNumberFormat="1" applyFont="1" applyFill="1" applyBorder="1"/>
    <xf numFmtId="0" fontId="3" fillId="3" borderId="4" xfId="0" applyNumberFormat="1" applyFont="1" applyFill="1" applyBorder="1"/>
    <xf numFmtId="44" fontId="3" fillId="3" borderId="5" xfId="0" applyNumberFormat="1" applyFont="1" applyFill="1" applyBorder="1"/>
    <xf numFmtId="44" fontId="3" fillId="3" borderId="6" xfId="0" applyNumberFormat="1" applyFont="1" applyFill="1" applyBorder="1"/>
    <xf numFmtId="0" fontId="0" fillId="0" borderId="4" xfId="0" applyNumberFormat="1" applyFont="1" applyBorder="1"/>
    <xf numFmtId="44" fontId="0" fillId="0" borderId="5" xfId="0" applyNumberFormat="1" applyFont="1" applyBorder="1"/>
    <xf numFmtId="44" fontId="0" fillId="0" borderId="6" xfId="0" applyNumberFormat="1" applyFont="1" applyBorder="1"/>
    <xf numFmtId="0" fontId="0" fillId="3" borderId="4" xfId="0" applyNumberFormat="1" applyFont="1" applyFill="1" applyBorder="1"/>
    <xf numFmtId="44" fontId="0" fillId="3" borderId="5" xfId="0" applyNumberFormat="1" applyFont="1" applyFill="1" applyBorder="1"/>
    <xf numFmtId="44" fontId="0" fillId="3" borderId="6" xfId="0" applyNumberFormat="1" applyFont="1" applyFill="1" applyBorder="1"/>
    <xf numFmtId="0" fontId="3" fillId="0" borderId="4" xfId="0" applyNumberFormat="1" applyFont="1" applyBorder="1"/>
    <xf numFmtId="44" fontId="3" fillId="0" borderId="5" xfId="0" applyNumberFormat="1" applyFont="1" applyBorder="1"/>
    <xf numFmtId="44" fontId="3" fillId="0" borderId="6" xfId="0" applyNumberFormat="1" applyFont="1" applyBorder="1"/>
    <xf numFmtId="0" fontId="0" fillId="3" borderId="1" xfId="0" applyNumberFormat="1" applyFont="1" applyFill="1" applyBorder="1"/>
    <xf numFmtId="44" fontId="0" fillId="3" borderId="2" xfId="0" applyNumberFormat="1" applyFont="1" applyFill="1" applyBorder="1"/>
    <xf numFmtId="44" fontId="0" fillId="3" borderId="3" xfId="0" applyNumberFormat="1" applyFont="1" applyFill="1" applyBorder="1"/>
    <xf numFmtId="1" fontId="5" fillId="0" borderId="0" xfId="1" applyNumberFormat="1" applyFont="1"/>
    <xf numFmtId="1" fontId="5" fillId="0" borderId="0" xfId="0" applyNumberFormat="1" applyFont="1"/>
    <xf numFmtId="2" fontId="0" fillId="0" borderId="0" xfId="1" applyNumberFormat="1" applyFont="1"/>
    <xf numFmtId="2" fontId="0" fillId="0" borderId="0" xfId="0" applyNumberFormat="1"/>
    <xf numFmtId="0" fontId="3" fillId="0" borderId="1" xfId="0" applyNumberFormat="1" applyFont="1" applyBorder="1"/>
    <xf numFmtId="44" fontId="3" fillId="0" borderId="2" xfId="0" applyNumberFormat="1" applyFont="1" applyBorder="1"/>
    <xf numFmtId="44" fontId="3" fillId="0" borderId="3" xfId="0" applyNumberFormat="1" applyFont="1" applyBorder="1"/>
    <xf numFmtId="0" fontId="0" fillId="0" borderId="7" xfId="0" applyNumberFormat="1" applyFont="1" applyFill="1" applyBorder="1"/>
    <xf numFmtId="0" fontId="7" fillId="0" borderId="4" xfId="0" applyNumberFormat="1" applyFont="1" applyBorder="1"/>
    <xf numFmtId="44" fontId="7" fillId="0" borderId="5" xfId="0" applyNumberFormat="1" applyFont="1" applyBorder="1"/>
    <xf numFmtId="44" fontId="7" fillId="0" borderId="6" xfId="0" applyNumberFormat="1" applyFont="1" applyBorder="1"/>
    <xf numFmtId="0" fontId="0" fillId="0" borderId="0" xfId="0" applyAlignment="1">
      <alignment wrapText="1"/>
    </xf>
    <xf numFmtId="44" fontId="0" fillId="0" borderId="0" xfId="1" applyNumberFormat="1" applyFont="1"/>
    <xf numFmtId="44" fontId="0" fillId="0" borderId="0" xfId="0" applyNumberFormat="1" applyAlignment="1"/>
    <xf numFmtId="44" fontId="5" fillId="0" borderId="0" xfId="1" applyNumberFormat="1" applyFont="1"/>
    <xf numFmtId="10" fontId="0" fillId="0" borderId="0" xfId="0" applyNumberFormat="1"/>
    <xf numFmtId="164" fontId="5" fillId="0" borderId="0" xfId="1" applyNumberFormat="1" applyFont="1"/>
    <xf numFmtId="164" fontId="0" fillId="0" borderId="0" xfId="0" applyNumberFormat="1"/>
    <xf numFmtId="1" fontId="8" fillId="0" borderId="0" xfId="0" applyNumberFormat="1" applyFont="1"/>
    <xf numFmtId="0" fontId="9" fillId="0" borderId="0" xfId="0" applyFont="1"/>
    <xf numFmtId="2" fontId="9" fillId="0" borderId="0" xfId="0" applyNumberFormat="1" applyFont="1"/>
    <xf numFmtId="0" fontId="0" fillId="0" borderId="0" xfId="0" applyBorder="1"/>
    <xf numFmtId="165" fontId="0" fillId="0" borderId="0" xfId="0" applyNumberFormat="1"/>
    <xf numFmtId="166" fontId="0" fillId="0" borderId="0" xfId="1" applyNumberFormat="1" applyFont="1" applyAlignment="1">
      <alignment horizontal="left" indent="3"/>
    </xf>
    <xf numFmtId="165" fontId="0" fillId="0" borderId="0" xfId="1" applyNumberFormat="1" applyFont="1"/>
    <xf numFmtId="0" fontId="0" fillId="5" borderId="0" xfId="0" applyFill="1"/>
    <xf numFmtId="0" fontId="5" fillId="5" borderId="0" xfId="0" applyFont="1" applyFill="1" applyAlignment="1">
      <alignment horizontal="right"/>
    </xf>
    <xf numFmtId="0" fontId="5" fillId="5" borderId="0" xfId="0" applyFont="1" applyFill="1"/>
    <xf numFmtId="0" fontId="0" fillId="5" borderId="0" xfId="0" applyFill="1" applyBorder="1"/>
    <xf numFmtId="0" fontId="11" fillId="4" borderId="0" xfId="0" applyFont="1" applyFill="1" applyBorder="1" applyAlignment="1">
      <alignment horizontal="left"/>
    </xf>
    <xf numFmtId="2" fontId="0" fillId="4" borderId="0" xfId="0" applyNumberFormat="1" applyFill="1" applyBorder="1"/>
    <xf numFmtId="0" fontId="11" fillId="7" borderId="0" xfId="0" applyFont="1" applyFill="1" applyBorder="1" applyAlignment="1">
      <alignment horizontal="left"/>
    </xf>
    <xf numFmtId="2" fontId="0" fillId="7" borderId="0" xfId="0" applyNumberFormat="1" applyFill="1" applyBorder="1"/>
    <xf numFmtId="0" fontId="0" fillId="9" borderId="0" xfId="0" applyFill="1" applyBorder="1" applyAlignment="1">
      <alignment horizontal="left"/>
    </xf>
    <xf numFmtId="0" fontId="0" fillId="10" borderId="0" xfId="0" applyFill="1" applyBorder="1" applyAlignment="1">
      <alignment horizontal="left"/>
    </xf>
    <xf numFmtId="0" fontId="0" fillId="9" borderId="0" xfId="0" applyFill="1" applyBorder="1" applyAlignment="1">
      <alignment wrapText="1"/>
    </xf>
    <xf numFmtId="0" fontId="0" fillId="10" borderId="0" xfId="0" applyFill="1" applyBorder="1" applyAlignment="1">
      <alignment horizontal="left" vertical="center" wrapText="1"/>
    </xf>
    <xf numFmtId="0" fontId="12" fillId="8" borderId="0" xfId="0" applyFont="1" applyFill="1" applyBorder="1" applyAlignment="1">
      <alignment horizontal="center"/>
    </xf>
    <xf numFmtId="0" fontId="0" fillId="4" borderId="0" xfId="0" applyFill="1" applyBorder="1"/>
    <xf numFmtId="0" fontId="0" fillId="7" borderId="0" xfId="0" applyFill="1" applyBorder="1"/>
    <xf numFmtId="0" fontId="14" fillId="6" borderId="0" xfId="0" applyFont="1" applyFill="1" applyAlignment="1">
      <alignment horizontal="center"/>
    </xf>
    <xf numFmtId="0" fontId="10" fillId="4" borderId="0" xfId="0" applyFont="1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13" fillId="6" borderId="0" xfId="0" applyFont="1" applyFill="1" applyBorder="1" applyAlignment="1">
      <alignment horizontal="right"/>
    </xf>
    <xf numFmtId="0" fontId="13" fillId="6" borderId="0" xfId="0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/>
    <xf numFmtId="167" fontId="0" fillId="0" borderId="0" xfId="2" applyNumberFormat="1" applyFont="1"/>
    <xf numFmtId="167" fontId="0" fillId="0" borderId="0" xfId="0" applyNumberFormat="1"/>
  </cellXfs>
  <cellStyles count="3">
    <cellStyle name="Currency" xfId="2" builtinId="4"/>
    <cellStyle name="Normal" xfId="0" builtinId="0"/>
    <cellStyle name="Percent" xfId="1" builtinId="5"/>
  </cellStyles>
  <dxfs count="11">
    <dxf>
      <numFmt numFmtId="167" formatCode="_([$BDT]\ * #,##0.00_);_([$BDT]\ * \(#,##0.00\);_([$BDT]\ * &quot;-&quot;??_);_(@_)"/>
    </dxf>
    <dxf>
      <numFmt numFmtId="167" formatCode="_([$BDT]\ * #,##0.00_);_([$BDT]\ * \(#,##0.00\);_([$BDT]\ * &quot;-&quot;??_);_(@_)"/>
    </dxf>
    <dxf>
      <numFmt numFmtId="167" formatCode="_([$BDT]\ * #,##0.00_);_([$BDT]\ * \(#,##0.00\);_([$BDT]\ 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1B365D"/>
      <color rgb="FF2D3748"/>
      <color rgb="FFE0E0E0"/>
      <color rgb="FFF1F5F9"/>
      <color rgb="FFF4F6F8"/>
      <color rgb="FF99FF99"/>
      <color rgb="FFA6D3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Cash Flow Characteristics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10049505777957"/>
          <c:y val="0.13170652755550979"/>
          <c:w val="0.89789950494222037"/>
          <c:h val="0.678701640293371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KPI!$G$7</c:f>
              <c:strCache>
                <c:ptCount val="1"/>
                <c:pt idx="0">
                  <c:v>Operating CF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0359611761993206E-2"/>
                  <c:y val="-6.059090926439773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04-4FEF-877F-8C5E4A23FC64}"/>
                </c:ext>
              </c:extLst>
            </c:dLbl>
            <c:dLbl>
              <c:idx val="1"/>
              <c:layout>
                <c:manualLayout>
                  <c:x val="2.0664737415459666E-2"/>
                  <c:y val="-9.22799206032534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04-4FEF-877F-8C5E4A23FC64}"/>
                </c:ext>
              </c:extLst>
            </c:dLbl>
            <c:spPr>
              <a:solidFill>
                <a:srgbClr val="1B365D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KPI!$H$7:$J$7</c:f>
              <c:numCache>
                <c:formatCode>"$"#,##0.00,,,"B"</c:formatCode>
                <c:ptCount val="3"/>
                <c:pt idx="0">
                  <c:v>17630498766</c:v>
                </c:pt>
                <c:pt idx="1">
                  <c:v>17256048456</c:v>
                </c:pt>
                <c:pt idx="2">
                  <c:v>33880146541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4-4FEF-877F-8C5E4A23FC64}"/>
            </c:ext>
          </c:extLst>
        </c:ser>
        <c:ser>
          <c:idx val="1"/>
          <c:order val="1"/>
          <c:tx>
            <c:strRef>
              <c:f>KPI!$G$8</c:f>
              <c:strCache>
                <c:ptCount val="1"/>
                <c:pt idx="0">
                  <c:v>Investing CF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9352233325647462E-2"/>
                  <c:y val="-4.847272741151811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04-4FEF-877F-8C5E4A23FC64}"/>
                </c:ext>
              </c:extLst>
            </c:dLbl>
            <c:dLbl>
              <c:idx val="1"/>
              <c:layout>
                <c:manualLayout>
                  <c:x val="-2.7625631365315258E-2"/>
                  <c:y val="-7.270909111727728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04-4FEF-877F-8C5E4A23FC64}"/>
                </c:ext>
              </c:extLst>
            </c:dLbl>
            <c:dLbl>
              <c:idx val="2"/>
              <c:layout>
                <c:manualLayout>
                  <c:x val="-2.9229129433598084E-2"/>
                  <c:y val="-7.707758099694229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04-4FEF-877F-8C5E4A23FC64}"/>
                </c:ext>
              </c:extLst>
            </c:dLbl>
            <c:spPr>
              <a:solidFill>
                <a:srgbClr val="1B365D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KPI!$H$8:$J$8</c:f>
              <c:numCache>
                <c:formatCode>"$"#,##0.00,,,"B"</c:formatCode>
                <c:ptCount val="3"/>
                <c:pt idx="0">
                  <c:v>-4431045821</c:v>
                </c:pt>
                <c:pt idx="1">
                  <c:v>-4583580736</c:v>
                </c:pt>
                <c:pt idx="2">
                  <c:v>-6235817210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4-4FEF-877F-8C5E4A23FC64}"/>
            </c:ext>
          </c:extLst>
        </c:ser>
        <c:ser>
          <c:idx val="2"/>
          <c:order val="2"/>
          <c:tx>
            <c:strRef>
              <c:f>KPI!$G$9</c:f>
              <c:strCache>
                <c:ptCount val="1"/>
                <c:pt idx="0">
                  <c:v>Financing CF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9793616776997666E-2"/>
                  <c:y val="0.381511254535129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B04-4FEF-877F-8C5E4A23FC64}"/>
                </c:ext>
              </c:extLst>
            </c:dLbl>
            <c:dLbl>
              <c:idx val="1"/>
              <c:layout>
                <c:manualLayout>
                  <c:x val="1.2086213722325425E-2"/>
                  <c:y val="-0.1009848487739962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04-4FEF-877F-8C5E4A23FC64}"/>
                </c:ext>
              </c:extLst>
            </c:dLbl>
            <c:dLbl>
              <c:idx val="2"/>
              <c:layout>
                <c:manualLayout>
                  <c:x val="8.5968027745875076E-3"/>
                  <c:y val="-0.1014178697328190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04-4FEF-877F-8C5E4A23FC64}"/>
                </c:ext>
              </c:extLst>
            </c:dLbl>
            <c:spPr>
              <a:solidFill>
                <a:srgbClr val="1B365D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KPI!$H$9:$J$9</c:f>
              <c:numCache>
                <c:formatCode>"$"#,##0.00,,,"B"</c:formatCode>
                <c:ptCount val="3"/>
                <c:pt idx="0">
                  <c:v>-14681322315</c:v>
                </c:pt>
                <c:pt idx="1">
                  <c:v>-8542373532</c:v>
                </c:pt>
                <c:pt idx="2">
                  <c:v>-27548462798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04-4FEF-877F-8C5E4A23F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746415"/>
        <c:axId val="514742575"/>
      </c:barChart>
      <c:catAx>
        <c:axId val="514746415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514742575"/>
        <c:crosses val="autoZero"/>
        <c:auto val="1"/>
        <c:lblAlgn val="ctr"/>
        <c:lblOffset val="100"/>
        <c:noMultiLvlLbl val="0"/>
      </c:catAx>
      <c:valAx>
        <c:axId val="514742575"/>
        <c:scaling>
          <c:orientation val="minMax"/>
        </c:scaling>
        <c:delete val="0"/>
        <c:axPos val="l"/>
        <c:numFmt formatCode="&quot;$&quot;#,##0.00,,,&quot;B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>
        <a:alpha val="50000"/>
      </a:sysClr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Gross, Operating, Net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Sheet5!$G$10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Sheet5!$F$11:$F$13</c:f>
              <c:numCache>
                <c:formatCode>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Sheet5!$G$11:$G$13</c:f>
              <c:numCache>
                <c:formatCode>0.00%</c:formatCode>
                <c:ptCount val="3"/>
                <c:pt idx="0">
                  <c:v>0.35181396694383799</c:v>
                </c:pt>
                <c:pt idx="1">
                  <c:v>0.3813563092372691</c:v>
                </c:pt>
                <c:pt idx="2">
                  <c:v>0.36049004243659954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1-42B5-9848-3D1AF687653C}"/>
            </c:ext>
          </c:extLst>
        </c:ser>
        <c:ser>
          <c:idx val="1"/>
          <c:order val="1"/>
          <c:tx>
            <c:strRef>
              <c:f>Sheet5!$H$10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Sheet5!$F$11:$F$13</c:f>
              <c:numCache>
                <c:formatCode>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Sheet5!$H$11:$H$13</c:f>
              <c:numCache>
                <c:formatCode>0.00%</c:formatCode>
                <c:ptCount val="3"/>
                <c:pt idx="0">
                  <c:v>0.23455615306124805</c:v>
                </c:pt>
                <c:pt idx="1">
                  <c:v>0.25022280237951022</c:v>
                </c:pt>
                <c:pt idx="2">
                  <c:v>0.20927373154738368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B1-42B5-9848-3D1AF687653C}"/>
            </c:ext>
          </c:extLst>
        </c:ser>
        <c:ser>
          <c:idx val="2"/>
          <c:order val="2"/>
          <c:tx>
            <c:strRef>
              <c:f>Sheet5!$I$10</c:f>
              <c:strCache>
                <c:ptCount val="1"/>
                <c:pt idx="0">
                  <c:v>Net Profit margin</c:v>
                </c:pt>
              </c:strCache>
            </c:strRef>
          </c:tx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Sheet5!$F$11:$F$13</c:f>
              <c:numCache>
                <c:formatCode>0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Sheet5!$I$11:$I$13</c:f>
              <c:numCache>
                <c:formatCode>0.00%</c:formatCode>
                <c:ptCount val="3"/>
                <c:pt idx="0">
                  <c:v>0.11791888391878311</c:v>
                </c:pt>
                <c:pt idx="1">
                  <c:v>0.18057841891997151</c:v>
                </c:pt>
                <c:pt idx="2">
                  <c:v>0.14636822930795296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B1-42B5-9848-3D1AF6876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10895"/>
        <c:axId val="604896015"/>
      </c:lineChart>
      <c:catAx>
        <c:axId val="60491089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96015"/>
        <c:crosses val="autoZero"/>
        <c:auto val="1"/>
        <c:lblAlgn val="ctr"/>
        <c:lblOffset val="100"/>
        <c:noMultiLvlLbl val="0"/>
      </c:catAx>
      <c:valAx>
        <c:axId val="60489601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>
        <a:alpha val="5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Revenue,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KPI!$K$14</c:f>
              <c:strCache>
                <c:ptCount val="1"/>
                <c:pt idx="0">
                  <c:v>Revenue  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KPI!$L$13:$N$13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KPI!$L$14:$N$14</c:f>
              <c:numCache>
                <c:formatCode>"$"#,##0,,,"B"</c:formatCode>
                <c:ptCount val="3"/>
                <c:pt idx="0">
                  <c:v>66374271405</c:v>
                </c:pt>
                <c:pt idx="1">
                  <c:v>75121154616</c:v>
                </c:pt>
                <c:pt idx="2">
                  <c:v>70822475704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8-4F71-951F-AC133FB5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914735"/>
        <c:axId val="604900335"/>
      </c:barChart>
      <c:lineChart>
        <c:grouping val="standard"/>
        <c:varyColors val="0"/>
        <c:ser>
          <c:idx val="1"/>
          <c:order val="1"/>
          <c:tx>
            <c:strRef>
              <c:f>KPI!$K$15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KPI!$L$13:$N$13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KPI!$L$15:$N$15</c:f>
              <c:numCache>
                <c:formatCode>"$"#,##0,,,"B"</c:formatCode>
                <c:ptCount val="3"/>
                <c:pt idx="0">
                  <c:v>7826780005</c:v>
                </c:pt>
                <c:pt idx="1">
                  <c:v>13565259328</c:v>
                </c:pt>
                <c:pt idx="2">
                  <c:v>10366160364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8-4F71-951F-AC133FB59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916655"/>
        <c:axId val="604916175"/>
      </c:lineChart>
      <c:catAx>
        <c:axId val="60491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00335"/>
        <c:crosses val="autoZero"/>
        <c:auto val="1"/>
        <c:lblAlgn val="ctr"/>
        <c:lblOffset val="100"/>
        <c:noMultiLvlLbl val="0"/>
      </c:catAx>
      <c:valAx>
        <c:axId val="604900335"/>
        <c:scaling>
          <c:orientation val="minMax"/>
        </c:scaling>
        <c:delete val="0"/>
        <c:axPos val="l"/>
        <c:numFmt formatCode="&quot;$&quot;#,##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4735"/>
        <c:crosses val="autoZero"/>
        <c:crossBetween val="between"/>
      </c:valAx>
      <c:valAx>
        <c:axId val="604916175"/>
        <c:scaling>
          <c:orientation val="minMax"/>
        </c:scaling>
        <c:delete val="0"/>
        <c:axPos val="r"/>
        <c:numFmt formatCode="&quot;$&quot;#,##0,,,&quot;B&quot;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6655"/>
        <c:crosses val="max"/>
        <c:crossBetween val="between"/>
      </c:valAx>
      <c:catAx>
        <c:axId val="60491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49161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>
        <a:alpha val="50000"/>
      </a:sys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KPI!$K$14</c:f>
              <c:strCache>
                <c:ptCount val="1"/>
                <c:pt idx="0">
                  <c:v>Revenue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KPI!$L$13:$N$13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KPI!$L$14:$N$14</c:f>
              <c:numCache>
                <c:formatCode>"$"#,##0,,,"B"</c:formatCode>
                <c:ptCount val="3"/>
                <c:pt idx="0">
                  <c:v>66374271405</c:v>
                </c:pt>
                <c:pt idx="1">
                  <c:v>75121154616</c:v>
                </c:pt>
                <c:pt idx="2">
                  <c:v>70822475704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D-4865-A80B-7C5795C4F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914735"/>
        <c:axId val="604900335"/>
      </c:barChart>
      <c:lineChart>
        <c:grouping val="standard"/>
        <c:varyColors val="0"/>
        <c:ser>
          <c:idx val="1"/>
          <c:order val="1"/>
          <c:tx>
            <c:strRef>
              <c:f>KPI!$K$15</c:f>
              <c:strCache>
                <c:ptCount val="1"/>
                <c:pt idx="0">
                  <c:v>Net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KPI!$L$13:$N$13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KPI!$L$15:$N$15</c:f>
              <c:numCache>
                <c:formatCode>"$"#,##0,,,"B"</c:formatCode>
                <c:ptCount val="3"/>
                <c:pt idx="0">
                  <c:v>7826780005</c:v>
                </c:pt>
                <c:pt idx="1">
                  <c:v>13565259328</c:v>
                </c:pt>
                <c:pt idx="2">
                  <c:v>10366160364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D-4865-A80B-7C5795C4F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916655"/>
        <c:axId val="604916175"/>
      </c:lineChart>
      <c:catAx>
        <c:axId val="604914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00335"/>
        <c:crosses val="autoZero"/>
        <c:auto val="1"/>
        <c:lblAlgn val="ctr"/>
        <c:lblOffset val="100"/>
        <c:noMultiLvlLbl val="0"/>
      </c:catAx>
      <c:valAx>
        <c:axId val="604900335"/>
        <c:scaling>
          <c:orientation val="minMax"/>
        </c:scaling>
        <c:delete val="0"/>
        <c:axPos val="l"/>
        <c:numFmt formatCode="&quot;$&quot;#,##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4735"/>
        <c:crosses val="autoZero"/>
        <c:crossBetween val="between"/>
      </c:valAx>
      <c:valAx>
        <c:axId val="604916175"/>
        <c:scaling>
          <c:orientation val="minMax"/>
        </c:scaling>
        <c:delete val="0"/>
        <c:axPos val="r"/>
        <c:numFmt formatCode="&quot;$&quot;#,##0,,,&quot;B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6655"/>
        <c:crosses val="max"/>
        <c:crossBetween val="between"/>
      </c:valAx>
      <c:catAx>
        <c:axId val="6049166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4916175"/>
        <c:crosses val="autoZero"/>
        <c:auto val="1"/>
        <c:lblAlgn val="ctr"/>
        <c:lblOffset val="100"/>
        <c:noMultiLvlLbl val="0"/>
      </c:catAx>
      <c:dTable>
        <c:showHorzBorder val="0"/>
        <c:showVertBorder val="0"/>
        <c:showOutline val="0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</a:t>
            </a:r>
            <a:r>
              <a:rPr lang="en-US" baseline="0"/>
              <a:t> Characterstics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KPI!$G$7</c:f>
              <c:strCache>
                <c:ptCount val="1"/>
                <c:pt idx="0">
                  <c:v>Operating CF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KPI!$H$7:$J$7</c:f>
              <c:numCache>
                <c:formatCode>"$"#,##0.00,,,"B"</c:formatCode>
                <c:ptCount val="3"/>
                <c:pt idx="0">
                  <c:v>17630498766</c:v>
                </c:pt>
                <c:pt idx="1">
                  <c:v>17256048456</c:v>
                </c:pt>
                <c:pt idx="2">
                  <c:v>33880146541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2-4EF1-A68D-D32B496DDC37}"/>
            </c:ext>
          </c:extLst>
        </c:ser>
        <c:ser>
          <c:idx val="1"/>
          <c:order val="1"/>
          <c:tx>
            <c:strRef>
              <c:f>KPI!$G$8</c:f>
              <c:strCache>
                <c:ptCount val="1"/>
                <c:pt idx="0">
                  <c:v>Investing CF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KPI!$H$8:$J$8</c:f>
              <c:numCache>
                <c:formatCode>"$"#,##0.00,,,"B"</c:formatCode>
                <c:ptCount val="3"/>
                <c:pt idx="0">
                  <c:v>-4431045821</c:v>
                </c:pt>
                <c:pt idx="1">
                  <c:v>-4583580736</c:v>
                </c:pt>
                <c:pt idx="2">
                  <c:v>-6235817210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22-4EF1-A68D-D32B496DDC37}"/>
            </c:ext>
          </c:extLst>
        </c:ser>
        <c:ser>
          <c:idx val="2"/>
          <c:order val="2"/>
          <c:tx>
            <c:strRef>
              <c:f>KPI!$G$9</c:f>
              <c:strCache>
                <c:ptCount val="1"/>
                <c:pt idx="0">
                  <c:v>Financing CF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KPI!$H$6:$J$6</c:f>
              <c:numCache>
                <c:formatCode>0</c:formatCod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numCache>
            </c:numRef>
          </c:cat>
          <c:val>
            <c:numRef>
              <c:f>KPI!$H$9:$J$9</c:f>
              <c:numCache>
                <c:formatCode>"$"#,##0.00,,,"B"</c:formatCode>
                <c:ptCount val="3"/>
                <c:pt idx="0">
                  <c:v>-14681322315</c:v>
                </c:pt>
                <c:pt idx="1">
                  <c:v>-8542373532</c:v>
                </c:pt>
                <c:pt idx="2">
                  <c:v>-27548462798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22-4EF1-A68D-D32B496DDC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4746415"/>
        <c:axId val="514742575"/>
      </c:barChart>
      <c:catAx>
        <c:axId val="514746415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accent2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2575"/>
        <c:crosses val="autoZero"/>
        <c:auto val="1"/>
        <c:lblAlgn val="ctr"/>
        <c:lblOffset val="100"/>
        <c:noMultiLvlLbl val="0"/>
      </c:catAx>
      <c:valAx>
        <c:axId val="514742575"/>
        <c:scaling>
          <c:orientation val="minMax"/>
        </c:scaling>
        <c:delete val="0"/>
        <c:axPos val="l"/>
        <c:numFmt formatCode="&quot;$&quot;#,##0.00,,,&quot;B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Gross, Operating, Net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Sheet5!$F$11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Sheet5!$G$10:$I$10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Sheet5!$G$11:$I$11</c:f>
              <c:numCache>
                <c:formatCode>0.00%</c:formatCode>
                <c:ptCount val="3"/>
                <c:pt idx="0">
                  <c:v>0.35181396694383799</c:v>
                </c:pt>
                <c:pt idx="1">
                  <c:v>0.23455615306124805</c:v>
                </c:pt>
                <c:pt idx="2">
                  <c:v>0.11791888391878311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4-44AF-9C98-0B189BB178FC}"/>
            </c:ext>
          </c:extLst>
        </c:ser>
        <c:ser>
          <c:idx val="1"/>
          <c:order val="1"/>
          <c:tx>
            <c:strRef>
              <c:f>Sheet5!$F$12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Sheet5!$G$10:$I$10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Sheet5!$G$12:$I$12</c:f>
              <c:numCache>
                <c:formatCode>0.00%</c:formatCode>
                <c:ptCount val="3"/>
                <c:pt idx="0">
                  <c:v>0.3813563092372691</c:v>
                </c:pt>
                <c:pt idx="1">
                  <c:v>0.25022280237951022</c:v>
                </c:pt>
                <c:pt idx="2">
                  <c:v>0.18057841891997151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4-44AF-9C98-0B189BB178FC}"/>
            </c:ext>
          </c:extLst>
        </c:ser>
        <c:ser>
          <c:idx val="2"/>
          <c:order val="2"/>
          <c:tx>
            <c:strRef>
              <c:f>Sheet5!$F$13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Sheet5!$G$10:$I$10</c:f>
              <c:strCache>
                <c:ptCount val="3"/>
                <c:pt idx="0">
                  <c:v>Gross profit Margin</c:v>
                </c:pt>
                <c:pt idx="1">
                  <c:v>Operating Profit Margin</c:v>
                </c:pt>
                <c:pt idx="2">
                  <c:v>Net Profit margin</c:v>
                </c:pt>
              </c:strCache>
            </c:strRef>
          </c:cat>
          <c:val>
            <c:numRef>
              <c:f>Sheet5!$G$13:$I$13</c:f>
              <c:numCache>
                <c:formatCode>0.00%</c:formatCode>
                <c:ptCount val="3"/>
                <c:pt idx="0">
                  <c:v>0.36049004243659954</c:v>
                </c:pt>
                <c:pt idx="1">
                  <c:v>0.20927373154738368</c:v>
                </c:pt>
                <c:pt idx="2">
                  <c:v>0.14636822930795296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94-44AF-9C98-0B189BB17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910895"/>
        <c:axId val="604896015"/>
      </c:lineChart>
      <c:catAx>
        <c:axId val="60491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896015"/>
        <c:crosses val="autoZero"/>
        <c:auto val="1"/>
        <c:lblAlgn val="ctr"/>
        <c:lblOffset val="100"/>
        <c:noMultiLvlLbl val="0"/>
      </c:catAx>
      <c:valAx>
        <c:axId val="60489601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593394</xdr:colOff>
      <xdr:row>3</xdr:row>
      <xdr:rowOff>1861</xdr:rowOff>
    </xdr:from>
    <xdr:to>
      <xdr:col>4</xdr:col>
      <xdr:colOff>316034</xdr:colOff>
      <xdr:row>6</xdr:row>
      <xdr:rowOff>34637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5369140-E083-44D8-8F5D-611C23ADBD37}"/>
            </a:ext>
          </a:extLst>
        </xdr:cNvPr>
        <xdr:cNvSpPr/>
      </xdr:nvSpPr>
      <xdr:spPr>
        <a:xfrm>
          <a:off x="1355394" y="890861"/>
          <a:ext cx="1904731" cy="794776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</a:rPr>
            <a:t>Revenue</a:t>
          </a:r>
          <a:endParaRPr lang="en-US" sz="1100" b="1">
            <a:solidFill>
              <a:sysClr val="windowText" lastClr="000000"/>
            </a:solidFill>
            <a:latin typeface="Lexend" pitchFamily="2" charset="0"/>
          </a:endParaRPr>
        </a:p>
      </xdr:txBody>
    </xdr:sp>
    <xdr:clientData/>
  </xdr:twoCellAnchor>
  <xdr:twoCellAnchor>
    <xdr:from>
      <xdr:col>4</xdr:col>
      <xdr:colOff>677214</xdr:colOff>
      <xdr:row>2</xdr:row>
      <xdr:rowOff>248240</xdr:rowOff>
    </xdr:from>
    <xdr:to>
      <xdr:col>7</xdr:col>
      <xdr:colOff>284212</xdr:colOff>
      <xdr:row>6</xdr:row>
      <xdr:rowOff>30892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169C66D-1377-498E-A674-823B095BEEDC}"/>
            </a:ext>
          </a:extLst>
        </xdr:cNvPr>
        <xdr:cNvSpPr/>
      </xdr:nvSpPr>
      <xdr:spPr>
        <a:xfrm>
          <a:off x="3632538" y="886672"/>
          <a:ext cx="1800323" cy="812382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Net</a:t>
          </a:r>
          <a:r>
            <a:rPr lang="en-US" sz="1400" b="1" baseline="0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 Profit</a:t>
          </a:r>
          <a:endParaRPr lang="en-US" sz="1400" b="1">
            <a:solidFill>
              <a:sysClr val="windowText" lastClr="000000"/>
            </a:solidFill>
            <a:latin typeface="Lexend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654354</xdr:colOff>
      <xdr:row>2</xdr:row>
      <xdr:rowOff>225381</xdr:rowOff>
    </xdr:from>
    <xdr:to>
      <xdr:col>10</xdr:col>
      <xdr:colOff>261353</xdr:colOff>
      <xdr:row>6</xdr:row>
      <xdr:rowOff>34637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CEA04331-1DCA-448C-BDE3-B2A723FD7E35}"/>
            </a:ext>
          </a:extLst>
        </xdr:cNvPr>
        <xdr:cNvSpPr/>
      </xdr:nvSpPr>
      <xdr:spPr>
        <a:xfrm>
          <a:off x="5780536" y="860381"/>
          <a:ext cx="1789090" cy="825256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Net margin</a:t>
          </a:r>
        </a:p>
      </xdr:txBody>
    </xdr:sp>
    <xdr:clientData/>
  </xdr:twoCellAnchor>
  <xdr:twoCellAnchor>
    <xdr:from>
      <xdr:col>10</xdr:col>
      <xdr:colOff>623874</xdr:colOff>
      <xdr:row>2</xdr:row>
      <xdr:rowOff>219263</xdr:rowOff>
    </xdr:from>
    <xdr:to>
      <xdr:col>12</xdr:col>
      <xdr:colOff>960675</xdr:colOff>
      <xdr:row>5</xdr:row>
      <xdr:rowOff>242455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7AA2BB1-DE6E-45A4-BF71-FD3D0ADE7AA6}"/>
            </a:ext>
          </a:extLst>
        </xdr:cNvPr>
        <xdr:cNvSpPr/>
      </xdr:nvSpPr>
      <xdr:spPr>
        <a:xfrm>
          <a:off x="7932147" y="854263"/>
          <a:ext cx="1791528" cy="785192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ROE</a:t>
          </a:r>
        </a:p>
      </xdr:txBody>
    </xdr:sp>
    <xdr:clientData/>
  </xdr:twoCellAnchor>
  <xdr:twoCellAnchor>
    <xdr:from>
      <xdr:col>13</xdr:col>
      <xdr:colOff>462469</xdr:colOff>
      <xdr:row>2</xdr:row>
      <xdr:rowOff>211643</xdr:rowOff>
    </xdr:from>
    <xdr:to>
      <xdr:col>16</xdr:col>
      <xdr:colOff>69467</xdr:colOff>
      <xdr:row>5</xdr:row>
      <xdr:rowOff>207818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0743A14-EC0C-44A1-AB47-84940DBF2E91}"/>
            </a:ext>
          </a:extLst>
        </xdr:cNvPr>
        <xdr:cNvSpPr/>
      </xdr:nvSpPr>
      <xdr:spPr>
        <a:xfrm>
          <a:off x="10195287" y="846643"/>
          <a:ext cx="1523544" cy="758175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Operating CF</a:t>
          </a:r>
        </a:p>
      </xdr:txBody>
    </xdr:sp>
    <xdr:clientData/>
  </xdr:twoCellAnchor>
  <xdr:twoCellAnchor>
    <xdr:from>
      <xdr:col>16</xdr:col>
      <xdr:colOff>492588</xdr:colOff>
      <xdr:row>2</xdr:row>
      <xdr:rowOff>251821</xdr:rowOff>
    </xdr:from>
    <xdr:to>
      <xdr:col>18</xdr:col>
      <xdr:colOff>715818</xdr:colOff>
      <xdr:row>5</xdr:row>
      <xdr:rowOff>219364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73832AF-66D2-4D85-9ABA-B224F2E83CCD}"/>
            </a:ext>
          </a:extLst>
        </xdr:cNvPr>
        <xdr:cNvSpPr/>
      </xdr:nvSpPr>
      <xdr:spPr>
        <a:xfrm>
          <a:off x="12141952" y="886821"/>
          <a:ext cx="1677957" cy="729543"/>
        </a:xfrm>
        <a:prstGeom prst="roundRect">
          <a:avLst/>
        </a:prstGeom>
        <a:solidFill>
          <a:sysClr val="window" lastClr="FFFFFF"/>
        </a:solidFill>
        <a:ln>
          <a:solidFill>
            <a:srgbClr val="E0E0E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sz="1400" b="1">
              <a:solidFill>
                <a:sysClr val="windowText" lastClr="000000"/>
              </a:solidFill>
              <a:latin typeface="Lexend" pitchFamily="2" charset="0"/>
              <a:ea typeface="+mn-ea"/>
              <a:cs typeface="+mn-cs"/>
            </a:rPr>
            <a:t>Debt To Equity</a:t>
          </a:r>
        </a:p>
      </xdr:txBody>
    </xdr:sp>
    <xdr:clientData/>
  </xdr:twoCellAnchor>
  <xdr:twoCellAnchor>
    <xdr:from>
      <xdr:col>0</xdr:col>
      <xdr:colOff>579549</xdr:colOff>
      <xdr:row>15</xdr:row>
      <xdr:rowOff>85858</xdr:rowOff>
    </xdr:from>
    <xdr:to>
      <xdr:col>10</xdr:col>
      <xdr:colOff>512495</xdr:colOff>
      <xdr:row>25</xdr:row>
      <xdr:rowOff>40460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E47629E-9EE8-4CF2-A938-64775BD82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479684</xdr:colOff>
      <xdr:row>7</xdr:row>
      <xdr:rowOff>8443</xdr:rowOff>
    </xdr:from>
    <xdr:to>
      <xdr:col>10</xdr:col>
      <xdr:colOff>513613</xdr:colOff>
      <xdr:row>15</xdr:row>
      <xdr:rowOff>8504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032B9FD-0A1F-4849-942B-566582997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550881</xdr:colOff>
      <xdr:row>14</xdr:row>
      <xdr:rowOff>230393</xdr:rowOff>
    </xdr:from>
    <xdr:to>
      <xdr:col>18</xdr:col>
      <xdr:colOff>367552</xdr:colOff>
      <xdr:row>16</xdr:row>
      <xdr:rowOff>197223</xdr:rowOff>
    </xdr:to>
    <xdr:sp macro="" textlink="Calc!AA38">
      <xdr:nvSpPr>
        <xdr:cNvPr id="24" name="TextBox 23">
          <a:extLst>
            <a:ext uri="{FF2B5EF4-FFF2-40B4-BE49-F238E27FC236}">
              <a16:creationId xmlns:a16="http://schemas.microsoft.com/office/drawing/2014/main" id="{8B515A3D-D346-475C-829E-1434FB95240D}"/>
            </a:ext>
          </a:extLst>
        </xdr:cNvPr>
        <xdr:cNvSpPr txBox="1"/>
      </xdr:nvSpPr>
      <xdr:spPr>
        <a:xfrm>
          <a:off x="11554161" y="4238513"/>
          <a:ext cx="2011231" cy="48499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endParaRPr lang="en-US" sz="1200" b="1" i="0" u="none" strike="noStrike">
            <a:solidFill>
              <a:srgbClr val="000000"/>
            </a:solidFill>
            <a:latin typeface="lexend"/>
            <a:ea typeface="+mn-ea"/>
            <a:cs typeface="Arabic Typesetting" panose="03020402040406030203" pitchFamily="66" charset="-78"/>
          </a:endParaRPr>
        </a:p>
      </xdr:txBody>
    </xdr:sp>
    <xdr:clientData/>
  </xdr:twoCellAnchor>
  <xdr:twoCellAnchor>
    <xdr:from>
      <xdr:col>2</xdr:col>
      <xdr:colOff>268112</xdr:colOff>
      <xdr:row>4</xdr:row>
      <xdr:rowOff>70232</xdr:rowOff>
    </xdr:from>
    <xdr:to>
      <xdr:col>3</xdr:col>
      <xdr:colOff>726722</xdr:colOff>
      <xdr:row>5</xdr:row>
      <xdr:rowOff>124021</xdr:rowOff>
    </xdr:to>
    <xdr:sp macro="" textlink="KPI!L5">
      <xdr:nvSpPr>
        <xdr:cNvPr id="28" name="TextBox 27">
          <a:extLst>
            <a:ext uri="{FF2B5EF4-FFF2-40B4-BE49-F238E27FC236}">
              <a16:creationId xmlns:a16="http://schemas.microsoft.com/office/drawing/2014/main" id="{F3E673B0-1127-99C4-E5F6-E40A20B8CE8F}"/>
            </a:ext>
          </a:extLst>
        </xdr:cNvPr>
        <xdr:cNvSpPr txBox="1"/>
      </xdr:nvSpPr>
      <xdr:spPr>
        <a:xfrm>
          <a:off x="1757476" y="1213232"/>
          <a:ext cx="1185973" cy="30778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341D882-FB64-4313-9891-96192010EA4D}" type="TxLink">
            <a:rPr lang="en-US" sz="1800" b="1" i="0" u="none" strike="noStrike">
              <a:solidFill>
                <a:srgbClr val="000000"/>
              </a:solidFill>
              <a:latin typeface="lexend"/>
            </a:rPr>
            <a:pPr/>
            <a:t>$66.37B</a:t>
          </a:fld>
          <a:endParaRPr lang="en-US" sz="1800" b="1"/>
        </a:p>
      </xdr:txBody>
    </xdr:sp>
    <xdr:clientData/>
  </xdr:twoCellAnchor>
  <xdr:twoCellAnchor>
    <xdr:from>
      <xdr:col>5</xdr:col>
      <xdr:colOff>331611</xdr:colOff>
      <xdr:row>4</xdr:row>
      <xdr:rowOff>29791</xdr:rowOff>
    </xdr:from>
    <xdr:to>
      <xdr:col>7</xdr:col>
      <xdr:colOff>47948</xdr:colOff>
      <xdr:row>5</xdr:row>
      <xdr:rowOff>83580</xdr:rowOff>
    </xdr:to>
    <xdr:sp macro="" textlink="KPI!L6">
      <xdr:nvSpPr>
        <xdr:cNvPr id="29" name="TextBox 28">
          <a:extLst>
            <a:ext uri="{FF2B5EF4-FFF2-40B4-BE49-F238E27FC236}">
              <a16:creationId xmlns:a16="http://schemas.microsoft.com/office/drawing/2014/main" id="{0D833E74-B2E9-4A68-8C42-618ACC5012D2}"/>
            </a:ext>
          </a:extLst>
        </xdr:cNvPr>
        <xdr:cNvSpPr txBox="1"/>
      </xdr:nvSpPr>
      <xdr:spPr>
        <a:xfrm>
          <a:off x="4028722" y="1193958"/>
          <a:ext cx="1183893" cy="314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49F2FA4-8744-49AB-BE6F-5D58594612DD}" type="TxLink">
            <a:rPr lang="en-US" sz="1800" b="1" i="0" u="none" strike="noStrike">
              <a:solidFill>
                <a:srgbClr val="000000"/>
              </a:solidFill>
              <a:latin typeface="lexend"/>
              <a:ea typeface="+mn-ea"/>
              <a:cs typeface="+mn-cs"/>
            </a:rPr>
            <a:pPr marL="0" indent="0"/>
            <a:t>$7.83B</a:t>
          </a:fld>
          <a:endParaRPr lang="en-US" sz="1800" b="1" i="0" u="none" strike="noStrike">
            <a:solidFill>
              <a:srgbClr val="000000"/>
            </a:solidFill>
            <a:latin typeface="lexend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300507</xdr:colOff>
      <xdr:row>4</xdr:row>
      <xdr:rowOff>60138</xdr:rowOff>
    </xdr:from>
    <xdr:to>
      <xdr:col>9</xdr:col>
      <xdr:colOff>621689</xdr:colOff>
      <xdr:row>5</xdr:row>
      <xdr:rowOff>128788</xdr:rowOff>
    </xdr:to>
    <xdr:sp macro="" textlink="KPI!L7">
      <xdr:nvSpPr>
        <xdr:cNvPr id="30" name="TextBox 29">
          <a:extLst>
            <a:ext uri="{FF2B5EF4-FFF2-40B4-BE49-F238E27FC236}">
              <a16:creationId xmlns:a16="http://schemas.microsoft.com/office/drawing/2014/main" id="{19D0AAAE-A389-43DD-97EA-8A497EF4EBFC}"/>
            </a:ext>
          </a:extLst>
        </xdr:cNvPr>
        <xdr:cNvSpPr txBox="1"/>
      </xdr:nvSpPr>
      <xdr:spPr>
        <a:xfrm>
          <a:off x="6171127" y="1219237"/>
          <a:ext cx="1050985" cy="326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976A9E4-841D-4309-8935-BE8781D7A698}" type="TxLink">
            <a:rPr lang="en-US" sz="1800" b="1" i="0" u="none" strike="noStrike">
              <a:solidFill>
                <a:srgbClr val="000000"/>
              </a:solidFill>
              <a:latin typeface="lexend"/>
              <a:ea typeface="+mn-ea"/>
              <a:cs typeface="+mn-cs"/>
            </a:rPr>
            <a:pPr marL="0" indent="0"/>
            <a:t>11.79%</a:t>
          </a:fld>
          <a:endParaRPr lang="en-US" sz="1800" b="1" i="0" u="none" strike="noStrike">
            <a:solidFill>
              <a:srgbClr val="000000"/>
            </a:solidFill>
            <a:latin typeface="lexend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424332</xdr:colOff>
      <xdr:row>4</xdr:row>
      <xdr:rowOff>44114</xdr:rowOff>
    </xdr:from>
    <xdr:to>
      <xdr:col>12</xdr:col>
      <xdr:colOff>695312</xdr:colOff>
      <xdr:row>5</xdr:row>
      <xdr:rowOff>127580</xdr:rowOff>
    </xdr:to>
    <xdr:sp macro="" textlink="KPI!L8">
      <xdr:nvSpPr>
        <xdr:cNvPr id="31" name="TextBox 30">
          <a:extLst>
            <a:ext uri="{FF2B5EF4-FFF2-40B4-BE49-F238E27FC236}">
              <a16:creationId xmlns:a16="http://schemas.microsoft.com/office/drawing/2014/main" id="{0719A583-53AF-4C9C-BF73-7A770F03206D}"/>
            </a:ext>
          </a:extLst>
        </xdr:cNvPr>
        <xdr:cNvSpPr txBox="1"/>
      </xdr:nvSpPr>
      <xdr:spPr>
        <a:xfrm>
          <a:off x="8520582" y="1196639"/>
          <a:ext cx="1004405" cy="3406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95FA0FE-9FD0-40DB-99AF-068CAA21508F}" type="TxLink">
            <a:rPr lang="en-US" sz="1800" b="1" i="0" u="none" strike="noStrike">
              <a:solidFill>
                <a:srgbClr val="000000"/>
              </a:solidFill>
              <a:latin typeface="lexend"/>
              <a:ea typeface="+mn-ea"/>
              <a:cs typeface="+mn-cs"/>
            </a:rPr>
            <a:pPr marL="0" indent="0"/>
            <a:t>7.62%</a:t>
          </a:fld>
          <a:endParaRPr lang="en-US" sz="1800" b="1" i="0" u="none" strike="noStrike">
            <a:solidFill>
              <a:srgbClr val="000000"/>
            </a:solidFill>
            <a:latin typeface="lexend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697246</xdr:colOff>
      <xdr:row>4</xdr:row>
      <xdr:rowOff>56666</xdr:rowOff>
    </xdr:from>
    <xdr:to>
      <xdr:col>15</xdr:col>
      <xdr:colOff>447675</xdr:colOff>
      <xdr:row>5</xdr:row>
      <xdr:rowOff>110455</xdr:rowOff>
    </xdr:to>
    <xdr:sp macro="" textlink="KPI!L9">
      <xdr:nvSpPr>
        <xdr:cNvPr id="32" name="TextBox 31">
          <a:extLst>
            <a:ext uri="{FF2B5EF4-FFF2-40B4-BE49-F238E27FC236}">
              <a16:creationId xmlns:a16="http://schemas.microsoft.com/office/drawing/2014/main" id="{8735795F-D095-430B-A64B-21D80A6EE924}"/>
            </a:ext>
          </a:extLst>
        </xdr:cNvPr>
        <xdr:cNvSpPr txBox="1"/>
      </xdr:nvSpPr>
      <xdr:spPr>
        <a:xfrm>
          <a:off x="10498471" y="1209191"/>
          <a:ext cx="1217279" cy="310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A865BC80-3F5B-49D5-B4F9-9E19D15386E2}" type="TxLink">
            <a:rPr lang="en-US" sz="1800" b="1" i="0" u="none" strike="noStrike">
              <a:solidFill>
                <a:srgbClr val="000000"/>
              </a:solidFill>
              <a:latin typeface="lexend"/>
              <a:ea typeface="+mn-ea"/>
              <a:cs typeface="+mn-cs"/>
            </a:rPr>
            <a:pPr marL="0" indent="0"/>
            <a:t>$33.880B</a:t>
          </a:fld>
          <a:endParaRPr lang="en-US" sz="1800" b="1" i="0" u="none" strike="noStrike">
            <a:solidFill>
              <a:srgbClr val="000000"/>
            </a:solidFill>
            <a:latin typeface="lexend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206295</xdr:colOff>
      <xdr:row>4</xdr:row>
      <xdr:rowOff>31601</xdr:rowOff>
    </xdr:from>
    <xdr:to>
      <xdr:col>18</xdr:col>
      <xdr:colOff>342242</xdr:colOff>
      <xdr:row>5</xdr:row>
      <xdr:rowOff>91048</xdr:rowOff>
    </xdr:to>
    <xdr:sp macro="" textlink="KPI!L10">
      <xdr:nvSpPr>
        <xdr:cNvPr id="33" name="TextBox 32">
          <a:extLst>
            <a:ext uri="{FF2B5EF4-FFF2-40B4-BE49-F238E27FC236}">
              <a16:creationId xmlns:a16="http://schemas.microsoft.com/office/drawing/2014/main" id="{DEEEEA84-269A-4561-961C-CA49971646D1}"/>
            </a:ext>
          </a:extLst>
        </xdr:cNvPr>
        <xdr:cNvSpPr txBox="1"/>
      </xdr:nvSpPr>
      <xdr:spPr>
        <a:xfrm>
          <a:off x="12689240" y="1209237"/>
          <a:ext cx="870238" cy="3226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CB98DC5-6D1A-4C31-84D3-60991445F3B7}" type="TxLink">
            <a:rPr lang="en-US" sz="1800" b="1" i="0" u="none" strike="noStrike">
              <a:solidFill>
                <a:srgbClr val="000000"/>
              </a:solidFill>
              <a:latin typeface="lexend"/>
              <a:ea typeface="+mn-ea"/>
              <a:cs typeface="+mn-cs"/>
            </a:rPr>
            <a:pPr marL="0" indent="0"/>
            <a:t>0.30</a:t>
          </a:fld>
          <a:endParaRPr lang="en-US" sz="1800" b="1" i="0" u="none" strike="noStrike">
            <a:solidFill>
              <a:srgbClr val="000000"/>
            </a:solidFill>
            <a:latin typeface="lexend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609172</xdr:colOff>
      <xdr:row>7</xdr:row>
      <xdr:rowOff>18995</xdr:rowOff>
    </xdr:from>
    <xdr:to>
      <xdr:col>5</xdr:col>
      <xdr:colOff>433912</xdr:colOff>
      <xdr:row>15</xdr:row>
      <xdr:rowOff>11375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68632EC-4EB2-1103-C508-F68B105D1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702128</xdr:colOff>
      <xdr:row>15</xdr:row>
      <xdr:rowOff>70757</xdr:rowOff>
    </xdr:from>
    <xdr:to>
      <xdr:col>14</xdr:col>
      <xdr:colOff>321128</xdr:colOff>
      <xdr:row>25</xdr:row>
      <xdr:rowOff>201385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B98464-CEFD-00E8-0E6E-9E993BCC5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981135</xdr:colOff>
      <xdr:row>15</xdr:row>
      <xdr:rowOff>236410</xdr:rowOff>
    </xdr:from>
    <xdr:to>
      <xdr:col>9</xdr:col>
      <xdr:colOff>53008</xdr:colOff>
      <xdr:row>24</xdr:row>
      <xdr:rowOff>33132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38919E-018E-D5F4-7097-40D884BFC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651510</xdr:colOff>
      <xdr:row>6</xdr:row>
      <xdr:rowOff>22860</xdr:rowOff>
    </xdr:from>
    <xdr:to>
      <xdr:col>9</xdr:col>
      <xdr:colOff>300990</xdr:colOff>
      <xdr:row>16</xdr:row>
      <xdr:rowOff>175260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6C62C5D-5F80-F40F-E240-A46F9053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8DAD3D-70D2-429E-A986-83451AE8C7FF}" name="Table3" displayName="Table3" ref="A1:E38" totalsRowShown="0">
  <autoFilter ref="A1:E38" xr:uid="{DB8DAD3D-70D2-429E-A986-83451AE8C7FF}"/>
  <tableColumns count="5">
    <tableColumn id="1" xr3:uid="{77E35F58-F6BF-4CDF-B0DC-5ACCC17C2868}" name="Category"/>
    <tableColumn id="2" xr3:uid="{D3340FDF-579F-4D74-ABFE-2C1739586A16}" name="Particulars"/>
    <tableColumn id="3" xr3:uid="{ADD7DCA6-1CD6-40BA-A4A3-955631455693}" name="2025" dataDxfId="2"/>
    <tableColumn id="4" xr3:uid="{65419751-4498-4188-B5D0-07500BBDA785}" name="2024" dataDxfId="1"/>
    <tableColumn id="5" xr3:uid="{938013FA-82E8-441D-8B62-6241836B4952}" name="2023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199FA0-AE42-4581-9475-62DFAC39C9C7}" name="Income_statement8" displayName="Income_statement8" ref="D1:E28" totalsRowShown="0" headerRowDxfId="10" dataDxfId="9">
  <autoFilter ref="D1:E28" xr:uid="{E2199FA0-AE42-4581-9475-62DFAC39C9C7}"/>
  <tableColumns count="2">
    <tableColumn id="2" xr3:uid="{04C2D05B-77A0-4F90-A61F-1A6C61EC428D}" name="01 July 2022 to_x000a_30 June 2023" dataDxfId="8"/>
    <tableColumn id="3" xr3:uid="{D66DD6D7-D903-432A-B3B3-AACB97CCE461}" name="01 July 2021 to_x000a_30 June 2022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155368-3F9F-4B1B-B79D-7C0C8755B0CA}" name="Balance_sheet9" displayName="Balance_sheet9" ref="D1:E41" totalsRowShown="0" headerRowDxfId="6" dataDxfId="5">
  <autoFilter ref="D1:E41" xr:uid="{07155368-3F9F-4B1B-B79D-7C0C8755B0CA}"/>
  <tableColumns count="2">
    <tableColumn id="2" xr3:uid="{7CD86704-FB4D-4340-BD01-2B57F3E06B9E}" name="30 June 2023" dataDxfId="4"/>
    <tableColumn id="3" xr3:uid="{5BD19B5B-0F25-4052-A802-1B58E59CB169}" name="30 June 202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081C-F658-4E44-AC95-6D107C232B31}">
  <dimension ref="A1:DH32"/>
  <sheetViews>
    <sheetView showGridLines="0" tabSelected="1" topLeftCell="A3" zoomScale="76" zoomScaleNormal="40" workbookViewId="0">
      <selection activeCell="L12" sqref="L12:M12"/>
    </sheetView>
  </sheetViews>
  <sheetFormatPr defaultColWidth="0" defaultRowHeight="20.399999999999999" customHeight="1" zeroHeight="1" x14ac:dyDescent="0.6"/>
  <cols>
    <col min="1" max="1" width="9.08984375" customWidth="1"/>
    <col min="2" max="12" width="8.7265625" customWidth="1"/>
    <col min="13" max="13" width="11.54296875" customWidth="1"/>
    <col min="14" max="15" width="8.7265625" customWidth="1"/>
    <col min="16" max="16" width="5.54296875" customWidth="1"/>
    <col min="17" max="20" width="8.7265625" customWidth="1"/>
    <col min="21" max="21" width="7.7265625" customWidth="1"/>
    <col min="22" max="112" width="52.81640625" hidden="1" customWidth="1"/>
    <col min="113" max="16384" width="8.7265625" hidden="1"/>
  </cols>
  <sheetData>
    <row r="1" spans="1:21" ht="30" customHeight="1" x14ac:dyDescent="0.95">
      <c r="A1" s="64" t="s">
        <v>155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21" x14ac:dyDescent="0.6">
      <c r="A2" s="70" t="s">
        <v>156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</row>
    <row r="3" spans="1:21" x14ac:dyDescent="0.6">
      <c r="A3" s="49"/>
      <c r="B3" s="50" t="s">
        <v>157</v>
      </c>
      <c r="C3" s="51">
        <v>2023</v>
      </c>
      <c r="D3" s="71" t="s">
        <v>189</v>
      </c>
      <c r="E3" s="71"/>
      <c r="F3" s="71"/>
      <c r="G3" s="71"/>
      <c r="H3" s="71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</row>
    <row r="4" spans="1:21" x14ac:dyDescent="0.6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</row>
    <row r="5" spans="1:21" x14ac:dyDescent="0.6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</row>
    <row r="6" spans="1:21" x14ac:dyDescent="0.6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</row>
    <row r="7" spans="1:21" x14ac:dyDescent="0.6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</row>
    <row r="8" spans="1:21" ht="20.399999999999999" customHeight="1" x14ac:dyDescent="0.6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65" t="s">
        <v>169</v>
      </c>
      <c r="M8" s="66"/>
      <c r="N8" s="66"/>
      <c r="O8" s="66"/>
      <c r="P8" s="49"/>
      <c r="Q8" s="65" t="s">
        <v>182</v>
      </c>
      <c r="R8" s="66"/>
      <c r="S8" s="66"/>
      <c r="T8" s="66"/>
      <c r="U8" s="49"/>
    </row>
    <row r="9" spans="1:21" x14ac:dyDescent="0.6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66"/>
      <c r="M9" s="66"/>
      <c r="N9" s="66"/>
      <c r="O9" s="66"/>
      <c r="P9" s="49"/>
      <c r="Q9" s="66"/>
      <c r="R9" s="66"/>
      <c r="S9" s="66"/>
      <c r="T9" s="66"/>
      <c r="U9" s="49"/>
    </row>
    <row r="10" spans="1:21" x14ac:dyDescent="0.6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67" t="s">
        <v>170</v>
      </c>
      <c r="M10" s="67"/>
      <c r="N10" s="67">
        <f>C3</f>
        <v>2023</v>
      </c>
      <c r="O10" s="67"/>
      <c r="P10" s="49"/>
      <c r="Q10" s="67" t="s">
        <v>170</v>
      </c>
      <c r="R10" s="67"/>
      <c r="S10" s="67">
        <f>C3</f>
        <v>2023</v>
      </c>
      <c r="T10" s="67"/>
      <c r="U10" s="49"/>
    </row>
    <row r="11" spans="1:21" x14ac:dyDescent="0.6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69" t="s">
        <v>171</v>
      </c>
      <c r="M11" s="69"/>
      <c r="N11" s="68" t="s">
        <v>172</v>
      </c>
      <c r="O11" s="68"/>
      <c r="P11" s="49"/>
      <c r="Q11" s="69" t="s">
        <v>171</v>
      </c>
      <c r="R11" s="69"/>
      <c r="S11" s="68" t="s">
        <v>172</v>
      </c>
      <c r="T11" s="68"/>
      <c r="U11" s="49"/>
    </row>
    <row r="12" spans="1:21" x14ac:dyDescent="0.6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53" t="s">
        <v>128</v>
      </c>
      <c r="M12" s="53"/>
      <c r="N12" s="62">
        <f>Calc!K9</f>
        <v>1.96</v>
      </c>
      <c r="O12" s="62"/>
      <c r="P12" s="49"/>
      <c r="Q12" s="53" t="str">
        <f>Calc!G17</f>
        <v>Asset Turnover</v>
      </c>
      <c r="R12" s="53"/>
      <c r="S12" s="54">
        <f>Calc!K17</f>
        <v>0.43453375352639073</v>
      </c>
      <c r="T12" s="54"/>
      <c r="U12" s="49"/>
    </row>
    <row r="13" spans="1:21" x14ac:dyDescent="0.6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5" t="s">
        <v>129</v>
      </c>
      <c r="M13" s="55"/>
      <c r="N13" s="63">
        <f>Calc!K10</f>
        <v>1.24</v>
      </c>
      <c r="O13" s="63"/>
      <c r="P13" s="49"/>
      <c r="Q13" s="55" t="str">
        <f>Calc!G18</f>
        <v>Inventory Turnover</v>
      </c>
      <c r="R13" s="55"/>
      <c r="S13" s="56">
        <f>Calc!K18</f>
        <v>1.3929762984104919</v>
      </c>
      <c r="T13" s="56"/>
      <c r="U13" s="49"/>
    </row>
    <row r="14" spans="1:21" x14ac:dyDescent="0.6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53" t="s">
        <v>173</v>
      </c>
      <c r="M14" s="53"/>
      <c r="N14" s="62">
        <f>Calc!K11</f>
        <v>7.0000000000000007E-2</v>
      </c>
      <c r="O14" s="62"/>
      <c r="P14" s="49"/>
      <c r="Q14" s="53" t="str">
        <f>Calc!G19</f>
        <v>Inventory Days</v>
      </c>
      <c r="R14" s="53"/>
      <c r="S14" s="54">
        <f>Calc!K19</f>
        <v>262.0288661167437</v>
      </c>
      <c r="T14" s="54"/>
      <c r="U14" s="49"/>
    </row>
    <row r="15" spans="1:21" x14ac:dyDescent="0.6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55" t="s">
        <v>134</v>
      </c>
      <c r="M15" s="55"/>
      <c r="N15" s="63">
        <f>Calc!K12</f>
        <v>0.21</v>
      </c>
      <c r="O15" s="63"/>
      <c r="P15" s="49"/>
      <c r="Q15" s="55" t="str">
        <f>Calc!G20</f>
        <v>Receivable Turnover</v>
      </c>
      <c r="R15" s="55"/>
      <c r="S15" s="56">
        <f>Calc!K20</f>
        <v>1.7337084480558986</v>
      </c>
      <c r="T15" s="56"/>
      <c r="U15" s="49"/>
    </row>
    <row r="16" spans="1:21" x14ac:dyDescent="0.6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3" t="s">
        <v>185</v>
      </c>
      <c r="M16" s="53"/>
      <c r="N16" s="62">
        <f>Calc!K13</f>
        <v>2.1</v>
      </c>
      <c r="O16" s="62"/>
      <c r="P16" s="49"/>
      <c r="Q16" s="53" t="str">
        <f>Calc!G21</f>
        <v>Receivable Days</v>
      </c>
      <c r="R16" s="53"/>
      <c r="S16" s="54">
        <f>Calc!K21</f>
        <v>210.53136149235144</v>
      </c>
      <c r="T16" s="54"/>
      <c r="U16" s="49"/>
    </row>
    <row r="17" spans="1:21" x14ac:dyDescent="0.6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5" t="s">
        <v>174</v>
      </c>
      <c r="M17" s="55"/>
      <c r="N17" s="56">
        <f>Calc!K15</f>
        <v>0.51044095586784544</v>
      </c>
      <c r="O17" s="63"/>
      <c r="P17" s="49"/>
      <c r="Q17" s="55" t="str">
        <f>Calc!G22</f>
        <v>Payable Days</v>
      </c>
      <c r="R17" s="55"/>
      <c r="S17" s="56">
        <f>Calc!K22</f>
        <v>32.406079027639883</v>
      </c>
      <c r="T17" s="56"/>
      <c r="U17" s="49"/>
    </row>
    <row r="18" spans="1:21" x14ac:dyDescent="0.6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52"/>
      <c r="M18" s="52"/>
      <c r="N18" s="52"/>
      <c r="O18" s="52"/>
      <c r="P18" s="49"/>
      <c r="Q18" s="49"/>
      <c r="R18" s="49"/>
      <c r="S18" s="49"/>
      <c r="T18" s="49"/>
      <c r="U18" s="49"/>
    </row>
    <row r="19" spans="1:21" ht="39.6" x14ac:dyDescent="1.100000000000000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61" t="s">
        <v>176</v>
      </c>
      <c r="M19" s="61"/>
      <c r="N19" s="61"/>
      <c r="O19" s="61"/>
      <c r="P19" s="61"/>
      <c r="Q19" s="61"/>
      <c r="R19" s="61"/>
      <c r="S19" s="61"/>
      <c r="T19" s="61"/>
      <c r="U19" s="49"/>
    </row>
    <row r="20" spans="1:21" ht="20.399999999999999" customHeight="1" x14ac:dyDescent="0.6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7" t="s">
        <v>112</v>
      </c>
      <c r="M20" s="57"/>
      <c r="N20" s="59" t="s">
        <v>177</v>
      </c>
      <c r="O20" s="59"/>
      <c r="P20" s="59"/>
      <c r="Q20" s="59"/>
      <c r="R20" s="59"/>
      <c r="S20" s="59"/>
      <c r="T20" s="59"/>
      <c r="U20" s="49"/>
    </row>
    <row r="21" spans="1:21" ht="20.399999999999999" customHeight="1" x14ac:dyDescent="0.6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8" t="s">
        <v>153</v>
      </c>
      <c r="M21" s="58"/>
      <c r="N21" s="60" t="s">
        <v>188</v>
      </c>
      <c r="O21" s="60"/>
      <c r="P21" s="60"/>
      <c r="Q21" s="60"/>
      <c r="R21" s="60"/>
      <c r="S21" s="60"/>
      <c r="T21" s="60"/>
      <c r="U21" s="49"/>
    </row>
    <row r="22" spans="1:21" ht="20.399999999999999" customHeight="1" x14ac:dyDescent="0.6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57" t="s">
        <v>127</v>
      </c>
      <c r="M22" s="57"/>
      <c r="N22" s="59" t="s">
        <v>178</v>
      </c>
      <c r="O22" s="59"/>
      <c r="P22" s="59"/>
      <c r="Q22" s="59"/>
      <c r="R22" s="59"/>
      <c r="S22" s="59"/>
      <c r="T22" s="59"/>
      <c r="U22" s="49"/>
    </row>
    <row r="23" spans="1:21" x14ac:dyDescent="0.6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58" t="s">
        <v>132</v>
      </c>
      <c r="M23" s="58"/>
      <c r="N23" s="60" t="s">
        <v>179</v>
      </c>
      <c r="O23" s="60"/>
      <c r="P23" s="60"/>
      <c r="Q23" s="60"/>
      <c r="R23" s="60"/>
      <c r="S23" s="60"/>
      <c r="T23" s="60"/>
      <c r="U23" s="49"/>
    </row>
    <row r="24" spans="1:21" x14ac:dyDescent="0.6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57" t="s">
        <v>175</v>
      </c>
      <c r="M24" s="57"/>
      <c r="N24" s="59" t="s">
        <v>187</v>
      </c>
      <c r="O24" s="59"/>
      <c r="P24" s="59"/>
      <c r="Q24" s="59"/>
      <c r="R24" s="59"/>
      <c r="S24" s="59"/>
      <c r="T24" s="59"/>
      <c r="U24" s="49"/>
    </row>
    <row r="25" spans="1:21" x14ac:dyDescent="0.6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58" t="s">
        <v>180</v>
      </c>
      <c r="M25" s="58"/>
      <c r="N25" s="60" t="s">
        <v>181</v>
      </c>
      <c r="O25" s="60"/>
      <c r="P25" s="60"/>
      <c r="Q25" s="60"/>
      <c r="R25" s="60"/>
      <c r="S25" s="60"/>
      <c r="T25" s="60"/>
      <c r="U25" s="49"/>
    </row>
    <row r="26" spans="1:21" x14ac:dyDescent="0.6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52"/>
      <c r="M26" s="52"/>
      <c r="N26" s="52"/>
      <c r="O26" s="52"/>
      <c r="P26" s="52"/>
      <c r="Q26" s="52"/>
      <c r="R26" s="52"/>
      <c r="S26" s="52"/>
      <c r="T26" s="52"/>
      <c r="U26" s="49"/>
    </row>
    <row r="27" spans="1:21" hidden="1" x14ac:dyDescent="0.6">
      <c r="L27" s="45"/>
      <c r="M27" s="45"/>
      <c r="N27" s="45"/>
      <c r="O27" s="45"/>
      <c r="P27" s="45"/>
      <c r="Q27" s="45"/>
      <c r="R27" s="45"/>
      <c r="S27" s="45"/>
      <c r="T27" s="45"/>
    </row>
    <row r="28" spans="1:21" hidden="1" x14ac:dyDescent="0.6"/>
    <row r="29" spans="1:21" hidden="1" x14ac:dyDescent="0.6"/>
    <row r="30" spans="1:21" hidden="1" x14ac:dyDescent="0.6"/>
    <row r="31" spans="1:21" hidden="1" x14ac:dyDescent="0.6"/>
    <row r="32" spans="1:21" ht="20.399999999999999" customHeight="1" x14ac:dyDescent="0.6"/>
  </sheetData>
  <mergeCells count="50">
    <mergeCell ref="A1:U1"/>
    <mergeCell ref="L8:O9"/>
    <mergeCell ref="L10:M10"/>
    <mergeCell ref="N10:O10"/>
    <mergeCell ref="N11:O11"/>
    <mergeCell ref="L11:M11"/>
    <mergeCell ref="A2:U2"/>
    <mergeCell ref="Q8:T9"/>
    <mergeCell ref="Q10:R10"/>
    <mergeCell ref="S10:T10"/>
    <mergeCell ref="Q11:R11"/>
    <mergeCell ref="S11:T11"/>
    <mergeCell ref="D3:H3"/>
    <mergeCell ref="L17:M17"/>
    <mergeCell ref="N12:O12"/>
    <mergeCell ref="N13:O13"/>
    <mergeCell ref="N14:O14"/>
    <mergeCell ref="N15:O15"/>
    <mergeCell ref="N16:O16"/>
    <mergeCell ref="N17:O17"/>
    <mergeCell ref="L12:M12"/>
    <mergeCell ref="L13:M13"/>
    <mergeCell ref="L14:M14"/>
    <mergeCell ref="L15:M15"/>
    <mergeCell ref="L16:M16"/>
    <mergeCell ref="L19:T19"/>
    <mergeCell ref="L20:M20"/>
    <mergeCell ref="L22:M22"/>
    <mergeCell ref="L23:M23"/>
    <mergeCell ref="L21:M21"/>
    <mergeCell ref="Q15:R15"/>
    <mergeCell ref="S15:T15"/>
    <mergeCell ref="Q16:R16"/>
    <mergeCell ref="S16:T16"/>
    <mergeCell ref="Q17:R17"/>
    <mergeCell ref="S17:T17"/>
    <mergeCell ref="L24:M24"/>
    <mergeCell ref="L25:M25"/>
    <mergeCell ref="N20:T20"/>
    <mergeCell ref="N21:T21"/>
    <mergeCell ref="N22:T22"/>
    <mergeCell ref="N23:T23"/>
    <mergeCell ref="N24:T24"/>
    <mergeCell ref="N25:T25"/>
    <mergeCell ref="Q12:R12"/>
    <mergeCell ref="S12:T12"/>
    <mergeCell ref="Q13:R13"/>
    <mergeCell ref="S13:T13"/>
    <mergeCell ref="Q14:R14"/>
    <mergeCell ref="S14:T14"/>
  </mergeCells>
  <dataValidations count="1">
    <dataValidation type="list" allowBlank="1" showInputMessage="1" showErrorMessage="1" sqref="C3" xr:uid="{BD946B3D-274D-48A0-9184-614B931477E3}">
      <formula1>"2023,2024,2025"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7E27-CBF0-46BB-A758-DC7DD2682760}">
  <dimension ref="A1:E38"/>
  <sheetViews>
    <sheetView topLeftCell="A4" zoomScale="50" workbookViewId="0">
      <selection activeCell="A4" sqref="A4"/>
    </sheetView>
  </sheetViews>
  <sheetFormatPr defaultColWidth="0" defaultRowHeight="20.399999999999999" zeroHeight="1" x14ac:dyDescent="0.6"/>
  <cols>
    <col min="1" max="1" width="18.453125" customWidth="1"/>
    <col min="2" max="2" width="15.26953125" customWidth="1"/>
    <col min="3" max="3" width="20.90625" bestFit="1" customWidth="1"/>
    <col min="4" max="4" width="20.81640625" bestFit="1" customWidth="1"/>
    <col min="5" max="5" width="20.7265625" bestFit="1" customWidth="1"/>
    <col min="6" max="16384" width="8.7265625" hidden="1"/>
  </cols>
  <sheetData>
    <row r="1" spans="1:5" x14ac:dyDescent="0.6">
      <c r="A1" t="s">
        <v>152</v>
      </c>
      <c r="B1" t="s">
        <v>0</v>
      </c>
      <c r="C1" t="s">
        <v>190</v>
      </c>
      <c r="D1" t="s">
        <v>191</v>
      </c>
      <c r="E1" t="s">
        <v>192</v>
      </c>
    </row>
    <row r="2" spans="1:5" x14ac:dyDescent="0.6">
      <c r="A2" t="s">
        <v>172</v>
      </c>
      <c r="B2" t="s">
        <v>161</v>
      </c>
      <c r="C2" s="75">
        <v>70822475704</v>
      </c>
      <c r="D2" s="75">
        <v>75121154616</v>
      </c>
      <c r="E2" s="75">
        <v>66374271405</v>
      </c>
    </row>
    <row r="3" spans="1:5" x14ac:dyDescent="0.6">
      <c r="A3" t="s">
        <v>172</v>
      </c>
      <c r="B3" t="s">
        <v>160</v>
      </c>
      <c r="C3" s="75">
        <v>10366160364</v>
      </c>
      <c r="D3" s="75">
        <v>13565259328</v>
      </c>
      <c r="E3" s="75">
        <v>7826780005</v>
      </c>
    </row>
    <row r="4" spans="1:5" x14ac:dyDescent="0.6">
      <c r="A4" t="s">
        <v>112</v>
      </c>
      <c r="B4" t="s">
        <v>114</v>
      </c>
      <c r="C4" s="5">
        <v>-5.7223280632116742E-2</v>
      </c>
      <c r="D4" s="5">
        <v>0.13178123127903885</v>
      </c>
      <c r="E4" s="5">
        <v>-0.18740321744575122</v>
      </c>
    </row>
    <row r="5" spans="1:5" x14ac:dyDescent="0.6">
      <c r="A5" t="s">
        <v>112</v>
      </c>
      <c r="B5" t="s">
        <v>115</v>
      </c>
      <c r="C5" s="5">
        <v>-0.10880818976640015</v>
      </c>
      <c r="D5" s="5">
        <v>0.22681858532775909</v>
      </c>
      <c r="E5" s="5">
        <v>-0.11997283412465085</v>
      </c>
    </row>
    <row r="6" spans="1:5" x14ac:dyDescent="0.6">
      <c r="A6" t="s">
        <v>112</v>
      </c>
      <c r="B6" t="s">
        <v>116</v>
      </c>
      <c r="C6" s="5">
        <v>-0.21150910228046627</v>
      </c>
      <c r="D6" s="5">
        <v>0.207376006449186</v>
      </c>
      <c r="E6" s="5">
        <v>-0.10269785991936016</v>
      </c>
    </row>
    <row r="7" spans="1:5" x14ac:dyDescent="0.6">
      <c r="A7" t="s">
        <v>112</v>
      </c>
      <c r="B7" t="s">
        <v>117</v>
      </c>
      <c r="C7" s="5">
        <v>-0.23583028430549441</v>
      </c>
      <c r="D7" s="5">
        <v>0.73318520762485639</v>
      </c>
      <c r="E7" s="5">
        <v>-0.35667572348948701</v>
      </c>
    </row>
    <row r="8" spans="1:5" x14ac:dyDescent="0.6">
      <c r="A8" t="s">
        <v>112</v>
      </c>
      <c r="B8" t="s">
        <v>118</v>
      </c>
      <c r="C8" s="5">
        <v>2.3106388553824427E-3</v>
      </c>
      <c r="D8" s="5">
        <v>7.7515733001668183E-2</v>
      </c>
      <c r="E8" s="5">
        <v>-8.5344854874271986E-2</v>
      </c>
    </row>
    <row r="9" spans="1:5" x14ac:dyDescent="0.6">
      <c r="A9" t="s">
        <v>112</v>
      </c>
      <c r="B9" t="s">
        <v>119</v>
      </c>
      <c r="C9" s="5">
        <v>5.3891405099994856E-2</v>
      </c>
      <c r="D9" s="5">
        <v>0.10350144584423339</v>
      </c>
      <c r="E9" s="5">
        <v>2.7024299830439077E-2</v>
      </c>
    </row>
    <row r="10" spans="1:5" x14ac:dyDescent="0.6">
      <c r="A10" t="s">
        <v>112</v>
      </c>
      <c r="B10" t="s">
        <v>120</v>
      </c>
      <c r="C10" s="5">
        <v>2.1699655686224159E-2</v>
      </c>
      <c r="D10" s="5">
        <v>-0.4906737361623385</v>
      </c>
      <c r="E10" s="5">
        <v>15.141978723396546</v>
      </c>
    </row>
    <row r="11" spans="1:5" x14ac:dyDescent="0.6">
      <c r="B11" t="s">
        <v>126</v>
      </c>
    </row>
    <row r="12" spans="1:5" x14ac:dyDescent="0.6">
      <c r="A12" t="s">
        <v>153</v>
      </c>
      <c r="B12" t="s">
        <v>122</v>
      </c>
      <c r="C12" s="5">
        <v>0.36049004243659954</v>
      </c>
      <c r="D12" s="5">
        <v>0.3813563092372691</v>
      </c>
      <c r="E12" s="5">
        <v>0.35181396694383799</v>
      </c>
    </row>
    <row r="13" spans="1:5" x14ac:dyDescent="0.6">
      <c r="A13" t="s">
        <v>153</v>
      </c>
      <c r="B13" t="s">
        <v>123</v>
      </c>
      <c r="C13" s="5">
        <v>0.20927373154738368</v>
      </c>
      <c r="D13" s="5">
        <v>0.25022280237951022</v>
      </c>
      <c r="E13" s="5">
        <v>0.23455615306124805</v>
      </c>
    </row>
    <row r="14" spans="1:5" x14ac:dyDescent="0.6">
      <c r="A14" t="s">
        <v>153</v>
      </c>
      <c r="B14" t="s">
        <v>121</v>
      </c>
      <c r="C14" s="5">
        <v>0.14636822930795296</v>
      </c>
      <c r="D14" s="5">
        <v>0.18057841891997151</v>
      </c>
      <c r="E14" s="5">
        <v>0.11791888391878311</v>
      </c>
    </row>
    <row r="15" spans="1:5" x14ac:dyDescent="0.6">
      <c r="A15" t="s">
        <v>153</v>
      </c>
      <c r="B15" t="s">
        <v>124</v>
      </c>
      <c r="C15" s="5">
        <v>6.5844541778153423E-2</v>
      </c>
      <c r="D15" s="5">
        <v>8.9483036070302738E-2</v>
      </c>
      <c r="E15" s="5">
        <v>5.1239735240871574E-2</v>
      </c>
    </row>
    <row r="16" spans="1:5" x14ac:dyDescent="0.6">
      <c r="A16" t="s">
        <v>153</v>
      </c>
      <c r="B16" t="s">
        <v>125</v>
      </c>
      <c r="C16" s="5">
        <v>8.7850877832632457E-2</v>
      </c>
      <c r="D16" s="5">
        <v>0.12386934815327685</v>
      </c>
      <c r="E16" s="5">
        <v>7.616991265363611E-2</v>
      </c>
    </row>
    <row r="17" spans="1:5" x14ac:dyDescent="0.6"/>
    <row r="18" spans="1:5" x14ac:dyDescent="0.6">
      <c r="A18" t="s">
        <v>127</v>
      </c>
      <c r="B18" t="s">
        <v>128</v>
      </c>
      <c r="C18" s="27">
        <v>2.5500821502295117</v>
      </c>
      <c r="D18" s="27">
        <v>2.2279701085767845</v>
      </c>
      <c r="E18" s="27">
        <v>1.9635200419940688</v>
      </c>
    </row>
    <row r="19" spans="1:5" x14ac:dyDescent="0.6">
      <c r="A19" t="s">
        <v>127</v>
      </c>
      <c r="B19" t="s">
        <v>129</v>
      </c>
      <c r="C19" s="27">
        <v>1.5133754380270465</v>
      </c>
      <c r="D19" s="27">
        <v>1.4870534309540404</v>
      </c>
      <c r="E19" s="27">
        <v>1.2413323867127091</v>
      </c>
    </row>
    <row r="20" spans="1:5" x14ac:dyDescent="0.6">
      <c r="A20" t="s">
        <v>127</v>
      </c>
      <c r="B20" t="s">
        <v>130</v>
      </c>
      <c r="C20" s="27">
        <v>0.17712028555977555</v>
      </c>
      <c r="D20" s="27">
        <v>0.18527615732914049</v>
      </c>
      <c r="E20" s="27">
        <v>6.8261792508137742E-2</v>
      </c>
    </row>
    <row r="21" spans="1:5" x14ac:dyDescent="0.6">
      <c r="C21" s="27"/>
      <c r="D21" s="27"/>
      <c r="E21" s="27"/>
    </row>
    <row r="22" spans="1:5" x14ac:dyDescent="0.6">
      <c r="A22" t="s">
        <v>132</v>
      </c>
      <c r="B22" t="s">
        <v>133</v>
      </c>
      <c r="C22" s="27">
        <v>0.2184905162868353</v>
      </c>
      <c r="D22" s="27">
        <v>0.25710391635759666</v>
      </c>
      <c r="E22" s="27">
        <v>0.29711006791171046</v>
      </c>
    </row>
    <row r="23" spans="1:5" x14ac:dyDescent="0.6">
      <c r="A23" t="s">
        <v>132</v>
      </c>
      <c r="B23" t="s">
        <v>134</v>
      </c>
      <c r="C23" s="27">
        <v>0.16786253024075137</v>
      </c>
      <c r="D23" s="27">
        <v>0.18786087626238024</v>
      </c>
      <c r="E23" s="27">
        <v>0.21198041292411302</v>
      </c>
    </row>
    <row r="24" spans="1:5" x14ac:dyDescent="0.6">
      <c r="A24" t="s">
        <v>132</v>
      </c>
      <c r="B24" t="s">
        <v>136</v>
      </c>
      <c r="C24" s="27">
        <v>3.42954963552264</v>
      </c>
      <c r="D24" s="27">
        <v>4.1108011278817695</v>
      </c>
      <c r="E24" s="27">
        <v>2.0969880191278722</v>
      </c>
    </row>
    <row r="25" spans="1:5" x14ac:dyDescent="0.6">
      <c r="C25" s="27"/>
      <c r="D25" s="27"/>
      <c r="E25" s="27"/>
    </row>
    <row r="26" spans="1:5" x14ac:dyDescent="0.6">
      <c r="A26" t="s">
        <v>138</v>
      </c>
      <c r="B26" t="s">
        <v>139</v>
      </c>
      <c r="C26" s="27">
        <v>0.44985542347184582</v>
      </c>
      <c r="D26" s="27">
        <v>0.49553560500471378</v>
      </c>
      <c r="E26" s="27">
        <v>0.43453375352639073</v>
      </c>
    </row>
    <row r="27" spans="1:5" x14ac:dyDescent="0.6">
      <c r="A27" t="s">
        <v>138</v>
      </c>
      <c r="B27" t="s">
        <v>140</v>
      </c>
      <c r="C27" s="27">
        <v>1.6224445660618705</v>
      </c>
      <c r="D27" s="27">
        <v>1.7958517495913413</v>
      </c>
      <c r="E27" s="27">
        <v>1.3929762984104919</v>
      </c>
    </row>
    <row r="28" spans="1:5" x14ac:dyDescent="0.6">
      <c r="A28" t="s">
        <v>138</v>
      </c>
      <c r="B28" t="s">
        <v>141</v>
      </c>
      <c r="C28" s="27">
        <v>224.96916544024535</v>
      </c>
      <c r="D28" s="27">
        <v>203.24617557270989</v>
      </c>
      <c r="E28" s="27">
        <v>262.0288661167437</v>
      </c>
    </row>
    <row r="29" spans="1:5" x14ac:dyDescent="0.6">
      <c r="A29" t="s">
        <v>138</v>
      </c>
      <c r="B29" t="s">
        <v>142</v>
      </c>
      <c r="C29" s="27">
        <v>1.9320612062990348</v>
      </c>
      <c r="D29" s="27">
        <v>2.0889740366529002</v>
      </c>
      <c r="E29" s="27">
        <v>1.7337084480558986</v>
      </c>
    </row>
    <row r="30" spans="1:5" x14ac:dyDescent="0.6">
      <c r="A30" t="s">
        <v>138</v>
      </c>
      <c r="B30" t="s">
        <v>143</v>
      </c>
      <c r="C30" s="27">
        <v>188.91741048886166</v>
      </c>
      <c r="D30" s="27">
        <v>174.72692029472441</v>
      </c>
      <c r="E30" s="27">
        <v>210.53136149235144</v>
      </c>
    </row>
    <row r="31" spans="1:5" x14ac:dyDescent="0.6">
      <c r="A31" t="s">
        <v>138</v>
      </c>
      <c r="B31" t="s">
        <v>144</v>
      </c>
      <c r="C31" s="27">
        <v>24.310264400735289</v>
      </c>
      <c r="D31" s="27">
        <v>26.26420705952081</v>
      </c>
      <c r="E31" s="27">
        <v>32.406079027639883</v>
      </c>
    </row>
    <row r="32" spans="1:5" x14ac:dyDescent="0.6"/>
    <row r="33" spans="1:5" x14ac:dyDescent="0.6">
      <c r="A33" t="s">
        <v>145</v>
      </c>
      <c r="B33" t="s">
        <v>146</v>
      </c>
      <c r="C33" s="76">
        <v>17630498766</v>
      </c>
      <c r="D33" s="76">
        <v>17256048456</v>
      </c>
      <c r="E33" s="76">
        <v>33880146541</v>
      </c>
    </row>
    <row r="34" spans="1:5" x14ac:dyDescent="0.6">
      <c r="A34" t="s">
        <v>145</v>
      </c>
      <c r="B34" t="s">
        <v>147</v>
      </c>
      <c r="C34" s="27">
        <v>0.24893931750827292</v>
      </c>
      <c r="D34" s="27">
        <v>0.22970957440961173</v>
      </c>
      <c r="E34" s="27">
        <v>0.51044095586784544</v>
      </c>
    </row>
    <row r="35" spans="1:5" x14ac:dyDescent="0.6">
      <c r="A35" t="s">
        <v>145</v>
      </c>
      <c r="B35" t="s">
        <v>148</v>
      </c>
      <c r="C35" s="76">
        <v>12433939591</v>
      </c>
      <c r="D35" s="76">
        <v>12455172751</v>
      </c>
      <c r="E35" s="76">
        <v>27455373019</v>
      </c>
    </row>
    <row r="36" spans="1:5" x14ac:dyDescent="0.6">
      <c r="A36" t="s">
        <v>145</v>
      </c>
      <c r="B36" t="s">
        <v>149</v>
      </c>
      <c r="C36" s="76">
        <v>-4431045821</v>
      </c>
      <c r="D36" s="76">
        <v>-4583580736</v>
      </c>
      <c r="E36" s="76">
        <v>-6235817210</v>
      </c>
    </row>
    <row r="37" spans="1:5" x14ac:dyDescent="0.6">
      <c r="A37" t="s">
        <v>145</v>
      </c>
      <c r="B37" t="s">
        <v>150</v>
      </c>
      <c r="C37" s="76">
        <v>-1481869370</v>
      </c>
      <c r="D37" s="76">
        <v>4130094189</v>
      </c>
      <c r="E37" s="76">
        <v>95866533</v>
      </c>
    </row>
    <row r="38" spans="1:5" x14ac:dyDescent="0.6">
      <c r="A38" t="s">
        <v>145</v>
      </c>
      <c r="B38" t="s">
        <v>151</v>
      </c>
      <c r="C38" s="27">
        <v>0.24893931750827292</v>
      </c>
      <c r="D38" s="27">
        <v>0.22970957440961173</v>
      </c>
      <c r="E38" s="27">
        <v>0.51044095586784544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4198E-4614-4647-85BD-297F0C5E45C0}">
  <dimension ref="A1:E29"/>
  <sheetViews>
    <sheetView topLeftCell="A4" zoomScale="73" zoomScaleNormal="55" workbookViewId="0">
      <selection activeCell="C29" sqref="C29"/>
    </sheetView>
  </sheetViews>
  <sheetFormatPr defaultRowHeight="20.399999999999999" x14ac:dyDescent="0.6"/>
  <cols>
    <col min="1" max="1" width="43.7265625" bestFit="1" customWidth="1"/>
    <col min="2" max="3" width="27.81640625" style="1" bestFit="1" customWidth="1"/>
    <col min="4" max="4" width="22.6328125" style="1" customWidth="1"/>
    <col min="5" max="5" width="32.6328125" style="1" customWidth="1"/>
  </cols>
  <sheetData>
    <row r="1" spans="1:5" x14ac:dyDescent="0.6">
      <c r="A1" s="6" t="s">
        <v>0</v>
      </c>
      <c r="B1" s="7" t="s">
        <v>77</v>
      </c>
      <c r="C1" s="8" t="s">
        <v>78</v>
      </c>
      <c r="D1" s="1" t="s">
        <v>110</v>
      </c>
      <c r="E1" s="1" t="s">
        <v>111</v>
      </c>
    </row>
    <row r="2" spans="1:5" s="3" customFormat="1" x14ac:dyDescent="0.6">
      <c r="A2" s="9" t="s">
        <v>79</v>
      </c>
      <c r="B2" s="10">
        <v>70822475704</v>
      </c>
      <c r="C2" s="11">
        <v>75121154616</v>
      </c>
      <c r="D2" s="2">
        <v>66374271405</v>
      </c>
      <c r="E2" s="2">
        <v>81681681284</v>
      </c>
    </row>
    <row r="3" spans="1:5" x14ac:dyDescent="0.6">
      <c r="A3" s="12" t="s">
        <v>80</v>
      </c>
      <c r="B3" s="13">
        <v>-45291678432</v>
      </c>
      <c r="C3" s="14">
        <v>-46473228347</v>
      </c>
      <c r="D3" s="1">
        <v>-43022875679</v>
      </c>
      <c r="E3" s="1">
        <v>-55146823463</v>
      </c>
    </row>
    <row r="4" spans="1:5" s="3" customFormat="1" x14ac:dyDescent="0.6">
      <c r="A4" s="9" t="s">
        <v>81</v>
      </c>
      <c r="B4" s="10">
        <v>25530797272</v>
      </c>
      <c r="C4" s="11">
        <v>28647926270</v>
      </c>
      <c r="D4" s="2">
        <v>23351395726</v>
      </c>
      <c r="E4" s="2">
        <v>26534857822</v>
      </c>
    </row>
    <row r="5" spans="1:5" x14ac:dyDescent="0.6">
      <c r="A5" s="12" t="s">
        <v>82</v>
      </c>
      <c r="B5" s="13"/>
      <c r="C5" s="14"/>
    </row>
    <row r="6" spans="1:5" x14ac:dyDescent="0.6">
      <c r="A6" s="15" t="s">
        <v>83</v>
      </c>
      <c r="B6" s="16">
        <v>-1695126401</v>
      </c>
      <c r="C6" s="17">
        <v>-1557382355</v>
      </c>
      <c r="D6" s="1">
        <v>-1373610844</v>
      </c>
      <c r="E6" s="1">
        <v>-1389331369</v>
      </c>
    </row>
    <row r="7" spans="1:5" x14ac:dyDescent="0.6">
      <c r="A7" s="12" t="s">
        <v>84</v>
      </c>
      <c r="B7" s="13">
        <v>-9014387103</v>
      </c>
      <c r="C7" s="14">
        <v>-8293518089</v>
      </c>
      <c r="D7" s="1">
        <v>-6409291118</v>
      </c>
      <c r="E7" s="1">
        <v>-7795190297</v>
      </c>
    </row>
    <row r="8" spans="1:5" s="3" customFormat="1" x14ac:dyDescent="0.6">
      <c r="A8" s="9" t="s">
        <v>85</v>
      </c>
      <c r="B8" s="10">
        <v>-10709513504</v>
      </c>
      <c r="C8" s="11">
        <v>-9850900444</v>
      </c>
      <c r="D8" s="2">
        <v>-7782901962</v>
      </c>
      <c r="E8" s="2">
        <v>-9184521666</v>
      </c>
    </row>
    <row r="9" spans="1:5" s="3" customFormat="1" x14ac:dyDescent="0.6">
      <c r="A9" s="18" t="s">
        <v>86</v>
      </c>
      <c r="B9" s="19">
        <v>14821283768</v>
      </c>
      <c r="C9" s="20">
        <v>18797025826</v>
      </c>
      <c r="D9" s="2">
        <v>15568493763</v>
      </c>
      <c r="E9" s="2">
        <v>17350336155</v>
      </c>
    </row>
    <row r="10" spans="1:5" x14ac:dyDescent="0.6">
      <c r="A10" s="15" t="s">
        <v>87</v>
      </c>
      <c r="B10" s="16">
        <v>290334678</v>
      </c>
      <c r="C10" s="17">
        <v>171221879</v>
      </c>
      <c r="D10" s="1">
        <v>32175844</v>
      </c>
      <c r="E10" s="1">
        <v>79765294</v>
      </c>
    </row>
    <row r="11" spans="1:5" x14ac:dyDescent="0.6">
      <c r="A11" s="12" t="s">
        <v>88</v>
      </c>
      <c r="B11" s="13">
        <v>-4484038732</v>
      </c>
      <c r="C11" s="14">
        <v>-4591235836</v>
      </c>
      <c r="D11" s="1">
        <v>-7535855991</v>
      </c>
      <c r="E11" s="1">
        <v>-4738325106</v>
      </c>
    </row>
    <row r="12" spans="1:5" x14ac:dyDescent="0.6">
      <c r="A12" s="15" t="s">
        <v>89</v>
      </c>
      <c r="B12" s="16">
        <v>-4193704054</v>
      </c>
      <c r="C12" s="17">
        <v>-4420013957</v>
      </c>
      <c r="D12" s="1">
        <v>-7503680148</v>
      </c>
      <c r="E12" s="1">
        <v>-4658559812</v>
      </c>
    </row>
    <row r="13" spans="1:5" x14ac:dyDescent="0.6">
      <c r="A13" s="12" t="s">
        <v>90</v>
      </c>
      <c r="B13" s="13">
        <v>10627579713</v>
      </c>
      <c r="C13" s="14">
        <v>14377011869</v>
      </c>
      <c r="D13" s="1">
        <v>8064813616</v>
      </c>
      <c r="E13" s="1">
        <v>12691776343</v>
      </c>
    </row>
    <row r="14" spans="1:5" x14ac:dyDescent="0.6">
      <c r="A14" s="15" t="s">
        <v>91</v>
      </c>
      <c r="B14" s="16">
        <v>266614954</v>
      </c>
      <c r="C14" s="17">
        <v>-94590252</v>
      </c>
      <c r="D14" s="1">
        <v>201930120</v>
      </c>
      <c r="E14" s="1">
        <v>270571805</v>
      </c>
    </row>
    <row r="15" spans="1:5" s="3" customFormat="1" x14ac:dyDescent="0.6">
      <c r="A15" s="18" t="s">
        <v>92</v>
      </c>
      <c r="B15" s="19">
        <v>10894194667</v>
      </c>
      <c r="C15" s="20">
        <v>14282421617</v>
      </c>
      <c r="D15" s="2">
        <v>8266743736</v>
      </c>
      <c r="E15" s="2">
        <v>12962348148</v>
      </c>
    </row>
    <row r="16" spans="1:5" x14ac:dyDescent="0.6">
      <c r="A16" s="15" t="s">
        <v>93</v>
      </c>
      <c r="B16" s="16">
        <v>-518771175</v>
      </c>
      <c r="C16" s="17">
        <v>-680115315</v>
      </c>
      <c r="D16" s="1">
        <v>-393654464</v>
      </c>
      <c r="E16" s="1">
        <v>-617254674</v>
      </c>
    </row>
    <row r="17" spans="1:5" x14ac:dyDescent="0.6">
      <c r="A17" s="12" t="s">
        <v>94</v>
      </c>
      <c r="B17" s="13">
        <v>10375423492</v>
      </c>
      <c r="C17" s="14">
        <v>13602306302</v>
      </c>
      <c r="D17" s="1">
        <v>7873089272</v>
      </c>
      <c r="E17" s="1">
        <v>12345093474</v>
      </c>
    </row>
    <row r="18" spans="1:5" x14ac:dyDescent="0.6">
      <c r="A18" s="15" t="s">
        <v>95</v>
      </c>
      <c r="B18" s="16"/>
      <c r="C18" s="17"/>
    </row>
    <row r="19" spans="1:5" x14ac:dyDescent="0.6">
      <c r="A19" s="12" t="s">
        <v>96</v>
      </c>
      <c r="B19" s="13">
        <v>-10227195</v>
      </c>
      <c r="C19" s="14">
        <v>-57026659</v>
      </c>
      <c r="D19" s="1">
        <v>-47752505</v>
      </c>
      <c r="E19" s="1">
        <v>-65269058</v>
      </c>
    </row>
    <row r="20" spans="1:5" x14ac:dyDescent="0.6">
      <c r="A20" s="15" t="s">
        <v>97</v>
      </c>
      <c r="B20" s="16">
        <v>964067</v>
      </c>
      <c r="C20" s="17">
        <v>19979685</v>
      </c>
      <c r="D20" s="1">
        <v>1443239</v>
      </c>
      <c r="E20" s="1">
        <v>-113673860</v>
      </c>
    </row>
    <row r="21" spans="1:5" s="3" customFormat="1" x14ac:dyDescent="0.6">
      <c r="A21" s="18" t="s">
        <v>98</v>
      </c>
      <c r="B21" s="19">
        <v>-9263129</v>
      </c>
      <c r="C21" s="20">
        <v>-37046974</v>
      </c>
      <c r="D21" s="2">
        <v>-46309267</v>
      </c>
      <c r="E21" s="2">
        <v>-178942917</v>
      </c>
    </row>
    <row r="22" spans="1:5" s="3" customFormat="1" x14ac:dyDescent="0.6">
      <c r="A22" s="9" t="s">
        <v>99</v>
      </c>
      <c r="B22" s="10">
        <v>10366160364</v>
      </c>
      <c r="C22" s="11">
        <v>13565259328</v>
      </c>
      <c r="D22" s="2">
        <v>7826780005</v>
      </c>
      <c r="E22" s="2">
        <v>12166150557</v>
      </c>
    </row>
    <row r="23" spans="1:5" x14ac:dyDescent="0.6">
      <c r="A23" s="12" t="s">
        <v>100</v>
      </c>
      <c r="B23" s="13"/>
      <c r="C23" s="14"/>
    </row>
    <row r="24" spans="1:5" x14ac:dyDescent="0.6">
      <c r="A24" s="15" t="s">
        <v>101</v>
      </c>
      <c r="B24" s="16">
        <v>4115909157</v>
      </c>
      <c r="C24" s="17">
        <v>0</v>
      </c>
      <c r="D24" s="1">
        <v>31274333219</v>
      </c>
      <c r="E24" s="1">
        <v>0</v>
      </c>
    </row>
    <row r="25" spans="1:5" x14ac:dyDescent="0.6">
      <c r="A25" s="12" t="s">
        <v>102</v>
      </c>
      <c r="B25" s="13">
        <v>-1055547108</v>
      </c>
      <c r="C25" s="14">
        <v>0</v>
      </c>
      <c r="D25" s="1">
        <v>-514663564</v>
      </c>
      <c r="E25" s="1">
        <v>0</v>
      </c>
    </row>
    <row r="26" spans="1:5" x14ac:dyDescent="0.6">
      <c r="A26" s="15" t="s">
        <v>103</v>
      </c>
      <c r="B26" s="16">
        <v>3060362049</v>
      </c>
      <c r="C26" s="17">
        <v>0</v>
      </c>
      <c r="D26" s="1">
        <v>30759669655</v>
      </c>
      <c r="E26" s="1">
        <v>0</v>
      </c>
    </row>
    <row r="27" spans="1:5" x14ac:dyDescent="0.6">
      <c r="A27" s="12" t="s">
        <v>104</v>
      </c>
      <c r="B27" s="13">
        <v>13426522413</v>
      </c>
      <c r="C27" s="14">
        <v>13565259328</v>
      </c>
      <c r="D27" s="1">
        <v>38586449660</v>
      </c>
      <c r="E27" s="1">
        <v>12166150557</v>
      </c>
    </row>
    <row r="28" spans="1:5" x14ac:dyDescent="0.6">
      <c r="A28" s="21" t="s">
        <v>105</v>
      </c>
      <c r="B28" s="22">
        <v>34.22</v>
      </c>
      <c r="C28" s="23">
        <v>44.78</v>
      </c>
      <c r="D28" s="1">
        <v>25.84</v>
      </c>
      <c r="E28" s="1">
        <v>40.159999999999997</v>
      </c>
    </row>
    <row r="29" spans="1:5" x14ac:dyDescent="0.6">
      <c r="A29" s="31" t="s">
        <v>135</v>
      </c>
      <c r="B29" s="1">
        <f>B15-B11</f>
        <v>15378233399</v>
      </c>
      <c r="C29" s="1">
        <f t="shared" ref="C29:E29" si="0">C15-C11</f>
        <v>18873657453</v>
      </c>
      <c r="D29" s="1">
        <f t="shared" si="0"/>
        <v>15802599727</v>
      </c>
      <c r="E29" s="1">
        <f t="shared" si="0"/>
        <v>17700673254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C8BD-E390-4365-8988-A34EA24309DA}">
  <dimension ref="A1:E42"/>
  <sheetViews>
    <sheetView zoomScale="59" zoomScaleNormal="85" workbookViewId="0">
      <selection activeCell="C11" sqref="C11"/>
    </sheetView>
  </sheetViews>
  <sheetFormatPr defaultRowHeight="20.399999999999999" x14ac:dyDescent="0.6"/>
  <cols>
    <col min="1" max="1" width="45.36328125" bestFit="1" customWidth="1"/>
    <col min="2" max="2" width="28.1796875" style="1" bestFit="1" customWidth="1"/>
    <col min="3" max="3" width="28.26953125" style="1" bestFit="1" customWidth="1"/>
    <col min="4" max="4" width="23.6328125" style="1" customWidth="1"/>
    <col min="5" max="5" width="23.90625" style="1" customWidth="1"/>
  </cols>
  <sheetData>
    <row r="1" spans="1:5" x14ac:dyDescent="0.6">
      <c r="A1" s="6" t="s">
        <v>0</v>
      </c>
      <c r="B1" s="7" t="s">
        <v>35</v>
      </c>
      <c r="C1" s="8" t="s">
        <v>36</v>
      </c>
      <c r="D1" s="1" t="s">
        <v>108</v>
      </c>
      <c r="E1" s="1" t="s">
        <v>109</v>
      </c>
    </row>
    <row r="2" spans="1:5" s="3" customFormat="1" x14ac:dyDescent="0.6">
      <c r="A2" s="9" t="s">
        <v>37</v>
      </c>
      <c r="B2" s="10"/>
      <c r="C2" s="11"/>
      <c r="D2" s="2"/>
      <c r="E2" s="2"/>
    </row>
    <row r="3" spans="1:5" s="3" customFormat="1" x14ac:dyDescent="0.6">
      <c r="A3" s="18" t="s">
        <v>38</v>
      </c>
      <c r="B3" s="19"/>
      <c r="C3" s="20"/>
      <c r="D3" s="2"/>
      <c r="E3" s="2"/>
    </row>
    <row r="4" spans="1:5" x14ac:dyDescent="0.6">
      <c r="A4" s="15" t="s">
        <v>39</v>
      </c>
      <c r="B4" s="16">
        <v>77180420324</v>
      </c>
      <c r="C4" s="17">
        <v>70863873952</v>
      </c>
      <c r="D4" s="1">
        <v>68824874693</v>
      </c>
      <c r="E4" s="1">
        <v>65475136944</v>
      </c>
    </row>
    <row r="5" spans="1:5" x14ac:dyDescent="0.6">
      <c r="A5" s="12" t="s">
        <v>40</v>
      </c>
      <c r="B5" s="13">
        <v>46082639</v>
      </c>
      <c r="C5" s="14">
        <v>16019226</v>
      </c>
      <c r="D5" s="1">
        <v>19217454</v>
      </c>
      <c r="E5" s="1">
        <v>13053850</v>
      </c>
    </row>
    <row r="6" spans="1:5" x14ac:dyDescent="0.6">
      <c r="A6" s="15" t="s">
        <v>41</v>
      </c>
      <c r="B6" s="16">
        <v>7247599337</v>
      </c>
      <c r="C6" s="17">
        <v>7437964575</v>
      </c>
      <c r="D6" s="1">
        <v>7351736250</v>
      </c>
      <c r="E6" s="1">
        <v>6446187658</v>
      </c>
    </row>
    <row r="7" spans="1:5" x14ac:dyDescent="0.6">
      <c r="A7" s="12" t="s">
        <v>42</v>
      </c>
      <c r="B7" s="13">
        <v>211722011</v>
      </c>
      <c r="C7" s="14">
        <v>201866955</v>
      </c>
      <c r="D7" s="1">
        <v>213136270</v>
      </c>
      <c r="E7" s="1">
        <v>207685994</v>
      </c>
    </row>
    <row r="8" spans="1:5" s="3" customFormat="1" x14ac:dyDescent="0.6">
      <c r="A8" s="9" t="s">
        <v>43</v>
      </c>
      <c r="B8" s="10">
        <v>84685824311</v>
      </c>
      <c r="C8" s="11">
        <v>78519724708</v>
      </c>
      <c r="D8" s="2">
        <v>76408964667</v>
      </c>
      <c r="E8" s="2">
        <v>72142064446</v>
      </c>
    </row>
    <row r="9" spans="1:5" s="3" customFormat="1" x14ac:dyDescent="0.6">
      <c r="A9" s="18" t="s">
        <v>44</v>
      </c>
      <c r="B9" s="19"/>
      <c r="C9" s="20"/>
      <c r="D9" s="2"/>
      <c r="E9" s="2"/>
    </row>
    <row r="10" spans="1:5" x14ac:dyDescent="0.6">
      <c r="A10" s="15" t="s">
        <v>45</v>
      </c>
      <c r="B10" s="16">
        <v>29648739753</v>
      </c>
      <c r="C10" s="17">
        <v>26182663525</v>
      </c>
      <c r="D10" s="1">
        <v>25573533341</v>
      </c>
      <c r="E10" s="1">
        <v>36197619159</v>
      </c>
    </row>
    <row r="11" spans="1:5" x14ac:dyDescent="0.6">
      <c r="A11" s="12" t="s">
        <v>46</v>
      </c>
      <c r="B11" s="13">
        <v>36066239999</v>
      </c>
      <c r="C11" s="14">
        <v>37246629669</v>
      </c>
      <c r="D11" s="1">
        <v>34674948386</v>
      </c>
      <c r="E11" s="1">
        <v>41894178885</v>
      </c>
    </row>
    <row r="12" spans="1:5" x14ac:dyDescent="0.6">
      <c r="A12" s="15" t="s">
        <v>47</v>
      </c>
      <c r="B12" s="16">
        <v>1486154474</v>
      </c>
      <c r="C12" s="17">
        <v>7671704651</v>
      </c>
      <c r="D12" s="1">
        <v>5517637114</v>
      </c>
      <c r="E12" s="1">
        <v>5536502855</v>
      </c>
    </row>
    <row r="13" spans="1:5" x14ac:dyDescent="0.6">
      <c r="A13" s="12" t="s">
        <v>48</v>
      </c>
      <c r="B13" s="13">
        <v>365800204</v>
      </c>
      <c r="C13" s="14">
        <v>778283932</v>
      </c>
      <c r="D13" s="1">
        <v>1033741904</v>
      </c>
      <c r="E13" s="1">
        <v>1186987977</v>
      </c>
    </row>
    <row r="14" spans="1:5" x14ac:dyDescent="0.6">
      <c r="A14" s="15" t="s">
        <v>49</v>
      </c>
      <c r="B14" s="16">
        <v>297320659</v>
      </c>
      <c r="C14" s="17">
        <v>305850540</v>
      </c>
      <c r="D14" s="1">
        <v>313513014</v>
      </c>
      <c r="E14" s="1">
        <v>278215010</v>
      </c>
    </row>
    <row r="15" spans="1:5" x14ac:dyDescent="0.6">
      <c r="A15" s="12" t="s">
        <v>50</v>
      </c>
      <c r="B15" s="13">
        <v>5065456980</v>
      </c>
      <c r="C15" s="14">
        <v>6547326350</v>
      </c>
      <c r="D15" s="1">
        <v>2417232161</v>
      </c>
      <c r="E15" s="1">
        <v>2321365628</v>
      </c>
    </row>
    <row r="16" spans="1:5" s="3" customFormat="1" x14ac:dyDescent="0.6">
      <c r="A16" s="9" t="s">
        <v>51</v>
      </c>
      <c r="B16" s="10">
        <v>72929712069</v>
      </c>
      <c r="C16" s="11">
        <v>78732458667</v>
      </c>
      <c r="D16" s="2">
        <v>69530605920</v>
      </c>
      <c r="E16" s="2">
        <v>87414869514</v>
      </c>
    </row>
    <row r="17" spans="1:5" s="3" customFormat="1" x14ac:dyDescent="0.6">
      <c r="A17" s="18" t="s">
        <v>52</v>
      </c>
      <c r="B17" s="19">
        <v>157615536380</v>
      </c>
      <c r="C17" s="20">
        <v>157252183375</v>
      </c>
      <c r="D17" s="2">
        <v>145939570587</v>
      </c>
      <c r="E17" s="2">
        <v>159556933960</v>
      </c>
    </row>
    <row r="18" spans="1:5" s="3" customFormat="1" x14ac:dyDescent="0.6">
      <c r="A18" s="9" t="s">
        <v>53</v>
      </c>
      <c r="B18" s="10"/>
      <c r="C18" s="11"/>
      <c r="D18" s="2"/>
      <c r="E18" s="2"/>
    </row>
    <row r="19" spans="1:5" x14ac:dyDescent="0.6">
      <c r="A19" s="12" t="s">
        <v>54</v>
      </c>
      <c r="B19" s="13"/>
      <c r="C19" s="14"/>
    </row>
    <row r="20" spans="1:5" x14ac:dyDescent="0.6">
      <c r="A20" s="15" t="s">
        <v>55</v>
      </c>
      <c r="B20" s="16">
        <v>3029283430</v>
      </c>
      <c r="C20" s="17">
        <v>3029283430</v>
      </c>
      <c r="D20" s="1">
        <v>3029283430</v>
      </c>
      <c r="E20" s="1">
        <v>3029283430</v>
      </c>
    </row>
    <row r="21" spans="1:5" x14ac:dyDescent="0.6">
      <c r="A21" s="12" t="s">
        <v>56</v>
      </c>
      <c r="B21" s="13">
        <v>931683717</v>
      </c>
      <c r="C21" s="14">
        <v>931683717</v>
      </c>
      <c r="D21" s="1">
        <v>931683717</v>
      </c>
      <c r="E21" s="1">
        <v>931683717</v>
      </c>
    </row>
    <row r="22" spans="1:5" x14ac:dyDescent="0.6">
      <c r="A22" s="15" t="s">
        <v>57</v>
      </c>
      <c r="B22" s="16">
        <v>83370439512</v>
      </c>
      <c r="C22" s="17">
        <v>80209560207</v>
      </c>
      <c r="D22" s="1">
        <v>69403503630</v>
      </c>
      <c r="E22" s="1">
        <v>66119942829</v>
      </c>
    </row>
    <row r="23" spans="1:5" x14ac:dyDescent="0.6">
      <c r="A23" s="12" t="s">
        <v>58</v>
      </c>
      <c r="B23" s="13">
        <v>33761916711</v>
      </c>
      <c r="C23" s="14">
        <v>30730612160</v>
      </c>
      <c r="D23" s="1">
        <v>30759669655</v>
      </c>
      <c r="E23" s="1">
        <v>31303390716</v>
      </c>
    </row>
    <row r="24" spans="1:5" s="3" customFormat="1" x14ac:dyDescent="0.6">
      <c r="A24" s="9" t="s">
        <v>59</v>
      </c>
      <c r="B24" s="10">
        <v>121093323370</v>
      </c>
      <c r="C24" s="11">
        <v>114901139514</v>
      </c>
      <c r="D24" s="2">
        <v>104124140432</v>
      </c>
      <c r="E24" s="2">
        <v>101384300692</v>
      </c>
    </row>
    <row r="25" spans="1:5" s="3" customFormat="1" x14ac:dyDescent="0.6">
      <c r="A25" s="18" t="s">
        <v>60</v>
      </c>
      <c r="B25" s="19"/>
      <c r="C25" s="20"/>
      <c r="D25" s="2"/>
      <c r="E25" s="2"/>
    </row>
    <row r="26" spans="1:5" x14ac:dyDescent="0.6">
      <c r="A26" s="15" t="s">
        <v>61</v>
      </c>
      <c r="B26" s="16">
        <v>5625548221</v>
      </c>
      <c r="C26" s="17">
        <v>5784668868</v>
      </c>
      <c r="D26" s="1">
        <v>5144327566</v>
      </c>
      <c r="E26" s="1">
        <v>2584065883</v>
      </c>
    </row>
    <row r="27" spans="1:5" x14ac:dyDescent="0.6">
      <c r="A27" s="12" t="s">
        <v>62</v>
      </c>
      <c r="B27" s="13">
        <v>78824932</v>
      </c>
      <c r="C27" s="14">
        <v>74068576</v>
      </c>
      <c r="D27" s="1">
        <v>74329381</v>
      </c>
      <c r="E27" s="1">
        <v>57116262</v>
      </c>
    </row>
    <row r="28" spans="1:5" x14ac:dyDescent="0.6">
      <c r="A28" s="15" t="s">
        <v>63</v>
      </c>
      <c r="B28" s="16">
        <v>199469372</v>
      </c>
      <c r="C28" s="17">
        <v>186957709</v>
      </c>
      <c r="D28" s="1">
        <v>196120077</v>
      </c>
      <c r="E28" s="1">
        <v>189487463</v>
      </c>
    </row>
    <row r="29" spans="1:5" x14ac:dyDescent="0.6">
      <c r="A29" s="12" t="s">
        <v>64</v>
      </c>
      <c r="B29" s="13">
        <v>2019404737</v>
      </c>
      <c r="C29" s="14">
        <v>967146295</v>
      </c>
      <c r="D29" s="1">
        <v>989450580</v>
      </c>
      <c r="E29" s="1">
        <v>477683129</v>
      </c>
    </row>
    <row r="30" spans="1:5" s="3" customFormat="1" x14ac:dyDescent="0.6">
      <c r="A30" s="9" t="s">
        <v>65</v>
      </c>
      <c r="B30" s="10">
        <v>7923247262</v>
      </c>
      <c r="C30" s="11">
        <v>7012841448</v>
      </c>
      <c r="D30" s="2">
        <v>6404227604</v>
      </c>
      <c r="E30" s="2">
        <v>3308352737</v>
      </c>
    </row>
    <row r="31" spans="1:5" s="3" customFormat="1" x14ac:dyDescent="0.6">
      <c r="A31" s="18" t="s">
        <v>66</v>
      </c>
      <c r="B31" s="19"/>
      <c r="C31" s="20"/>
      <c r="D31" s="2"/>
      <c r="E31" s="2"/>
    </row>
    <row r="32" spans="1:5" x14ac:dyDescent="0.6">
      <c r="A32" s="15" t="s">
        <v>67</v>
      </c>
      <c r="B32" s="16">
        <v>2403051804</v>
      </c>
      <c r="C32" s="17">
        <v>3630113554</v>
      </c>
      <c r="D32" s="1">
        <v>3058009690</v>
      </c>
      <c r="E32" s="1">
        <v>4581457210</v>
      </c>
    </row>
    <row r="33" spans="1:5" x14ac:dyDescent="0.6">
      <c r="A33" s="12" t="s">
        <v>68</v>
      </c>
      <c r="B33" s="13">
        <v>17883976956</v>
      </c>
      <c r="C33" s="14">
        <v>21243601979</v>
      </c>
      <c r="D33" s="1">
        <v>24096051506</v>
      </c>
      <c r="E33" s="1">
        <v>42659073516</v>
      </c>
    </row>
    <row r="34" spans="1:5" x14ac:dyDescent="0.6">
      <c r="A34" s="15" t="s">
        <v>69</v>
      </c>
      <c r="B34" s="16">
        <v>2948217565</v>
      </c>
      <c r="C34" s="17">
        <v>2513262116</v>
      </c>
      <c r="D34" s="1">
        <v>1695951363</v>
      </c>
      <c r="E34" s="1">
        <v>1331294074</v>
      </c>
    </row>
    <row r="35" spans="1:5" x14ac:dyDescent="0.6">
      <c r="A35" s="12" t="s">
        <v>70</v>
      </c>
      <c r="B35" s="13">
        <v>39624404</v>
      </c>
      <c r="C35" s="14">
        <v>41207819</v>
      </c>
      <c r="D35" s="1">
        <v>35666642</v>
      </c>
      <c r="E35" s="1">
        <v>28394840</v>
      </c>
    </row>
    <row r="36" spans="1:5" x14ac:dyDescent="0.6">
      <c r="A36" s="15" t="s">
        <v>71</v>
      </c>
      <c r="B36" s="16">
        <v>7481253</v>
      </c>
      <c r="C36" s="17">
        <v>5752783</v>
      </c>
      <c r="D36" s="1">
        <v>3778478</v>
      </c>
      <c r="E36" s="1">
        <v>2840777</v>
      </c>
    </row>
    <row r="37" spans="1:5" x14ac:dyDescent="0.6">
      <c r="A37" s="12" t="s">
        <v>72</v>
      </c>
      <c r="B37" s="13">
        <v>5316613766</v>
      </c>
      <c r="C37" s="14">
        <v>7904264162</v>
      </c>
      <c r="D37" s="1">
        <v>6521744872</v>
      </c>
      <c r="E37" s="1">
        <v>6261220114</v>
      </c>
    </row>
    <row r="38" spans="1:5" s="3" customFormat="1" x14ac:dyDescent="0.6">
      <c r="A38" s="9" t="s">
        <v>73</v>
      </c>
      <c r="B38" s="10">
        <v>28598965748</v>
      </c>
      <c r="C38" s="11">
        <v>35338202413</v>
      </c>
      <c r="D38" s="2">
        <v>35411202551</v>
      </c>
      <c r="E38" s="2">
        <v>54864280531</v>
      </c>
    </row>
    <row r="39" spans="1:5" s="3" customFormat="1" x14ac:dyDescent="0.6">
      <c r="A39" s="18" t="s">
        <v>74</v>
      </c>
      <c r="B39" s="19">
        <v>157615536380</v>
      </c>
      <c r="C39" s="20">
        <v>157252183375</v>
      </c>
      <c r="D39" s="2">
        <v>145939570587</v>
      </c>
      <c r="E39" s="2">
        <v>159556933960</v>
      </c>
    </row>
    <row r="40" spans="1:5" s="3" customFormat="1" x14ac:dyDescent="0.6">
      <c r="A40" s="9" t="s">
        <v>75</v>
      </c>
      <c r="B40" s="10">
        <v>288.29000000000002</v>
      </c>
      <c r="C40" s="11">
        <v>277.86</v>
      </c>
      <c r="D40" s="2">
        <v>242.18</v>
      </c>
      <c r="E40" s="2">
        <v>231.34</v>
      </c>
    </row>
    <row r="41" spans="1:5" s="3" customFormat="1" x14ac:dyDescent="0.6">
      <c r="A41" s="28" t="s">
        <v>76</v>
      </c>
      <c r="B41" s="29">
        <v>399.74</v>
      </c>
      <c r="C41" s="30">
        <v>379.3</v>
      </c>
      <c r="D41" s="2">
        <v>343.73</v>
      </c>
      <c r="E41" s="2">
        <v>334.68</v>
      </c>
    </row>
    <row r="42" spans="1:5" s="3" customFormat="1" x14ac:dyDescent="0.6">
      <c r="A42" s="3" t="s">
        <v>131</v>
      </c>
      <c r="B42" s="2">
        <f>B26+B33+B34</f>
        <v>26457742742</v>
      </c>
      <c r="C42" s="2">
        <f t="shared" ref="C42:E42" si="0">C26+C33+C34</f>
        <v>29541532963</v>
      </c>
      <c r="D42" s="2">
        <f t="shared" si="0"/>
        <v>30936330435</v>
      </c>
      <c r="E42" s="2">
        <f t="shared" si="0"/>
        <v>46574433473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0D6C-981E-4D6F-860F-9C8D041BE7C1}">
  <dimension ref="A1:E33"/>
  <sheetViews>
    <sheetView zoomScale="85" zoomScaleNormal="55" workbookViewId="0">
      <selection activeCell="A15" sqref="A15"/>
    </sheetView>
  </sheetViews>
  <sheetFormatPr defaultRowHeight="20.399999999999999" x14ac:dyDescent="0.6"/>
  <cols>
    <col min="1" max="1" width="61.54296875" bestFit="1" customWidth="1"/>
    <col min="2" max="3" width="26.7265625" style="1" bestFit="1" customWidth="1"/>
    <col min="4" max="4" width="25.90625" style="1" customWidth="1"/>
    <col min="5" max="5" width="29.08984375" style="1" customWidth="1"/>
    <col min="6" max="6" width="12.26953125" bestFit="1" customWidth="1"/>
  </cols>
  <sheetData>
    <row r="1" spans="1:5" x14ac:dyDescent="0.6">
      <c r="A1" s="6" t="s">
        <v>0</v>
      </c>
      <c r="B1" s="7" t="s">
        <v>1</v>
      </c>
      <c r="C1" s="7" t="s">
        <v>2</v>
      </c>
      <c r="D1" s="7" t="s">
        <v>106</v>
      </c>
      <c r="E1" s="8" t="s">
        <v>107</v>
      </c>
    </row>
    <row r="2" spans="1:5" s="3" customFormat="1" x14ac:dyDescent="0.6">
      <c r="A2" s="9" t="s">
        <v>3</v>
      </c>
      <c r="B2" s="10"/>
      <c r="C2" s="10"/>
      <c r="D2" s="10"/>
      <c r="E2" s="11"/>
    </row>
    <row r="3" spans="1:5" x14ac:dyDescent="0.6">
      <c r="A3" s="12" t="s">
        <v>4</v>
      </c>
      <c r="B3" s="13">
        <v>78507560112</v>
      </c>
      <c r="C3" s="13">
        <v>77419988481</v>
      </c>
      <c r="D3" s="13">
        <v>78005422848</v>
      </c>
      <c r="E3" s="14">
        <v>75328836761</v>
      </c>
    </row>
    <row r="4" spans="1:5" x14ac:dyDescent="0.6">
      <c r="A4" s="15" t="s">
        <v>5</v>
      </c>
      <c r="B4" s="16">
        <v>-300489166</v>
      </c>
      <c r="C4" s="16">
        <v>44492106</v>
      </c>
      <c r="D4" s="16">
        <v>122427285</v>
      </c>
      <c r="E4" s="17">
        <v>133258190</v>
      </c>
    </row>
    <row r="5" spans="1:5" s="4" customFormat="1" x14ac:dyDescent="0.6">
      <c r="A5" s="32" t="s">
        <v>6</v>
      </c>
      <c r="B5" s="33">
        <v>78207070945</v>
      </c>
      <c r="C5" s="33">
        <v>77464480588</v>
      </c>
      <c r="D5" s="33">
        <v>78127850133</v>
      </c>
      <c r="E5" s="34">
        <v>75462094951</v>
      </c>
    </row>
    <row r="6" spans="1:5" x14ac:dyDescent="0.6">
      <c r="A6" s="15" t="s">
        <v>7</v>
      </c>
      <c r="B6" s="16">
        <v>-45919169501</v>
      </c>
      <c r="C6" s="16">
        <v>-47829102523</v>
      </c>
      <c r="D6" s="16">
        <v>-33633766254</v>
      </c>
      <c r="E6" s="17">
        <v>-66973469260</v>
      </c>
    </row>
    <row r="7" spans="1:5" x14ac:dyDescent="0.6">
      <c r="A7" s="12" t="s">
        <v>8</v>
      </c>
      <c r="B7" s="13">
        <v>-8321592870</v>
      </c>
      <c r="C7" s="13">
        <v>-7264260790</v>
      </c>
      <c r="D7" s="13">
        <v>-6426803156</v>
      </c>
      <c r="E7" s="14">
        <v>-7113919709</v>
      </c>
    </row>
    <row r="8" spans="1:5" x14ac:dyDescent="0.6">
      <c r="A8" s="15" t="s">
        <v>9</v>
      </c>
      <c r="B8" s="16">
        <v>-680115315</v>
      </c>
      <c r="C8" s="16">
        <v>-393654464</v>
      </c>
      <c r="D8" s="16">
        <v>-617254674</v>
      </c>
      <c r="E8" s="17">
        <v>-890258781</v>
      </c>
    </row>
    <row r="9" spans="1:5" s="3" customFormat="1" x14ac:dyDescent="0.6">
      <c r="A9" s="18" t="s">
        <v>10</v>
      </c>
      <c r="B9" s="19">
        <v>-54920877686</v>
      </c>
      <c r="C9" s="19">
        <v>-55487017777</v>
      </c>
      <c r="D9" s="19">
        <v>-40677824083</v>
      </c>
      <c r="E9" s="20">
        <v>-74977647750</v>
      </c>
    </row>
    <row r="10" spans="1:5" s="3" customFormat="1" x14ac:dyDescent="0.6">
      <c r="A10" s="9" t="s">
        <v>11</v>
      </c>
      <c r="B10" s="10">
        <v>23286193259</v>
      </c>
      <c r="C10" s="10">
        <v>21977462811</v>
      </c>
      <c r="D10" s="10">
        <v>37450026049</v>
      </c>
      <c r="E10" s="11">
        <v>484447202</v>
      </c>
    </row>
    <row r="11" spans="1:5" x14ac:dyDescent="0.6">
      <c r="A11" s="12" t="s">
        <v>12</v>
      </c>
      <c r="B11" s="13">
        <v>-5655694493</v>
      </c>
      <c r="C11" s="13">
        <v>-4721414355</v>
      </c>
      <c r="D11" s="13">
        <v>-3569879509</v>
      </c>
      <c r="E11" s="14">
        <v>-2880161918</v>
      </c>
    </row>
    <row r="12" spans="1:5" s="3" customFormat="1" x14ac:dyDescent="0.6">
      <c r="A12" s="9" t="s">
        <v>13</v>
      </c>
      <c r="B12" s="10">
        <v>17630498766</v>
      </c>
      <c r="C12" s="10">
        <v>17256048456</v>
      </c>
      <c r="D12" s="10">
        <v>33880146541</v>
      </c>
      <c r="E12" s="11">
        <v>-2395714716</v>
      </c>
    </row>
    <row r="13" spans="1:5" s="3" customFormat="1" x14ac:dyDescent="0.6">
      <c r="A13" s="18" t="s">
        <v>14</v>
      </c>
      <c r="B13" s="19"/>
      <c r="C13" s="19"/>
      <c r="D13" s="19"/>
      <c r="E13" s="20"/>
    </row>
    <row r="14" spans="1:5" x14ac:dyDescent="0.6">
      <c r="A14" s="15" t="s">
        <v>15</v>
      </c>
      <c r="B14" s="16">
        <v>-5196559175</v>
      </c>
      <c r="C14" s="16">
        <v>-4800875705</v>
      </c>
      <c r="D14" s="16">
        <v>-6424773522</v>
      </c>
      <c r="E14" s="17">
        <v>-7618780348</v>
      </c>
    </row>
    <row r="15" spans="1:5" x14ac:dyDescent="0.6">
      <c r="A15" s="12" t="s">
        <v>16</v>
      </c>
      <c r="B15" s="13">
        <v>-37926730</v>
      </c>
      <c r="C15" s="13">
        <v>-3824614</v>
      </c>
      <c r="D15" s="13">
        <v>-11488840</v>
      </c>
      <c r="E15" s="14">
        <v>-3637488</v>
      </c>
    </row>
    <row r="16" spans="1:5" x14ac:dyDescent="0.6">
      <c r="A16" s="15" t="s">
        <v>17</v>
      </c>
      <c r="B16" s="16">
        <v>586024</v>
      </c>
      <c r="C16" s="16">
        <v>4946368</v>
      </c>
      <c r="D16" s="16">
        <v>18922211</v>
      </c>
      <c r="E16" s="17">
        <v>7850469</v>
      </c>
    </row>
    <row r="17" spans="1:5" x14ac:dyDescent="0.6">
      <c r="A17" s="12" t="s">
        <v>18</v>
      </c>
      <c r="B17" s="13">
        <v>8529881</v>
      </c>
      <c r="C17" s="13">
        <v>7662474</v>
      </c>
      <c r="D17" s="13">
        <v>-35298004</v>
      </c>
      <c r="E17" s="14">
        <v>1087334219</v>
      </c>
    </row>
    <row r="18" spans="1:5" x14ac:dyDescent="0.6">
      <c r="A18" s="15" t="s">
        <v>19</v>
      </c>
      <c r="B18" s="16">
        <v>433082545</v>
      </c>
      <c r="C18" s="16">
        <v>18925408</v>
      </c>
      <c r="D18" s="16">
        <v>135402706</v>
      </c>
      <c r="E18" s="17">
        <v>-151424263</v>
      </c>
    </row>
    <row r="19" spans="1:5" x14ac:dyDescent="0.6">
      <c r="A19" s="12" t="s">
        <v>20</v>
      </c>
      <c r="B19" s="13">
        <v>303774449</v>
      </c>
      <c r="C19" s="13">
        <v>154894895</v>
      </c>
      <c r="D19" s="13">
        <v>30659852</v>
      </c>
      <c r="E19" s="14">
        <v>95872412</v>
      </c>
    </row>
    <row r="20" spans="1:5" x14ac:dyDescent="0.6">
      <c r="A20" s="15" t="s">
        <v>21</v>
      </c>
      <c r="B20" s="16">
        <v>57467186</v>
      </c>
      <c r="C20" s="16">
        <v>34690439</v>
      </c>
      <c r="D20" s="16">
        <v>50758387</v>
      </c>
      <c r="E20" s="17">
        <v>111353074</v>
      </c>
    </row>
    <row r="21" spans="1:5" s="3" customFormat="1" x14ac:dyDescent="0.6">
      <c r="A21" s="18" t="s">
        <v>22</v>
      </c>
      <c r="B21" s="19">
        <v>-4431045821</v>
      </c>
      <c r="C21" s="19">
        <v>-4583580736</v>
      </c>
      <c r="D21" s="19">
        <v>-6235817210</v>
      </c>
      <c r="E21" s="20">
        <v>-6471431925</v>
      </c>
    </row>
    <row r="22" spans="1:5" s="3" customFormat="1" x14ac:dyDescent="0.6">
      <c r="A22" s="9" t="s">
        <v>23</v>
      </c>
      <c r="B22" s="10"/>
      <c r="C22" s="10"/>
      <c r="D22" s="10"/>
      <c r="E22" s="11"/>
    </row>
    <row r="23" spans="1:5" x14ac:dyDescent="0.6">
      <c r="A23" s="12" t="s">
        <v>24</v>
      </c>
      <c r="B23" s="13">
        <v>66854714</v>
      </c>
      <c r="C23" s="13">
        <v>51639360</v>
      </c>
      <c r="D23" s="13">
        <v>46944872</v>
      </c>
      <c r="E23" s="14">
        <v>65722821</v>
      </c>
    </row>
    <row r="24" spans="1:5" x14ac:dyDescent="0.6">
      <c r="A24" s="15" t="s">
        <v>25</v>
      </c>
      <c r="B24" s="16">
        <v>-7236663155</v>
      </c>
      <c r="C24" s="16">
        <v>-2790584847</v>
      </c>
      <c r="D24" s="16">
        <v>-4572791875</v>
      </c>
      <c r="E24" s="17">
        <v>-5173208575</v>
      </c>
    </row>
    <row r="25" spans="1:5" x14ac:dyDescent="0.6">
      <c r="A25" s="12" t="s">
        <v>26</v>
      </c>
      <c r="B25" s="13">
        <v>1728470</v>
      </c>
      <c r="C25" s="13">
        <v>1974305</v>
      </c>
      <c r="D25" s="13"/>
      <c r="E25" s="14"/>
    </row>
    <row r="26" spans="1:5" x14ac:dyDescent="0.6">
      <c r="A26" s="15" t="s">
        <v>27</v>
      </c>
      <c r="B26" s="16">
        <v>-41340652</v>
      </c>
      <c r="C26" s="16">
        <v>-37516806</v>
      </c>
      <c r="D26" s="16">
        <v>-30258351</v>
      </c>
      <c r="E26" s="17">
        <v>-35346059</v>
      </c>
    </row>
    <row r="27" spans="1:5" x14ac:dyDescent="0.6">
      <c r="A27" s="12" t="s">
        <v>28</v>
      </c>
      <c r="B27" s="13">
        <v>-4388111473</v>
      </c>
      <c r="C27" s="13">
        <v>-4373088074</v>
      </c>
      <c r="D27" s="13">
        <v>-7353240991</v>
      </c>
      <c r="E27" s="14">
        <v>-4301028941</v>
      </c>
    </row>
    <row r="28" spans="1:5" x14ac:dyDescent="0.6">
      <c r="A28" s="15" t="s">
        <v>29</v>
      </c>
      <c r="B28" s="16">
        <v>275834802</v>
      </c>
      <c r="C28" s="16">
        <v>1457652057</v>
      </c>
      <c r="D28" s="16">
        <v>2924918972</v>
      </c>
      <c r="E28" s="17">
        <v>-1851111438</v>
      </c>
    </row>
    <row r="29" spans="1:5" x14ac:dyDescent="0.6">
      <c r="A29" s="12" t="s">
        <v>30</v>
      </c>
      <c r="B29" s="13">
        <v>-3359625021</v>
      </c>
      <c r="C29" s="13">
        <v>-2852449527</v>
      </c>
      <c r="D29" s="13">
        <v>-18564035425</v>
      </c>
      <c r="E29" s="14">
        <v>18779658803</v>
      </c>
    </row>
    <row r="30" spans="1:5" x14ac:dyDescent="0.6">
      <c r="A30" s="15" t="s">
        <v>31</v>
      </c>
      <c r="B30" s="16">
        <v>-14681322315</v>
      </c>
      <c r="C30" s="16">
        <v>-8542373532</v>
      </c>
      <c r="D30" s="16">
        <v>-27548462798</v>
      </c>
      <c r="E30" s="17">
        <v>7484686612</v>
      </c>
    </row>
    <row r="31" spans="1:5" s="3" customFormat="1" x14ac:dyDescent="0.6">
      <c r="A31" s="18" t="s">
        <v>32</v>
      </c>
      <c r="B31" s="19">
        <v>-1481869370</v>
      </c>
      <c r="C31" s="19">
        <v>4130094189</v>
      </c>
      <c r="D31" s="19">
        <v>95866533</v>
      </c>
      <c r="E31" s="20">
        <v>-1382460029</v>
      </c>
    </row>
    <row r="32" spans="1:5" s="3" customFormat="1" x14ac:dyDescent="0.6">
      <c r="A32" s="9" t="s">
        <v>33</v>
      </c>
      <c r="B32" s="10">
        <v>6547326350</v>
      </c>
      <c r="C32" s="10">
        <v>2417232161</v>
      </c>
      <c r="D32" s="10">
        <v>2321365628</v>
      </c>
      <c r="E32" s="11">
        <v>3703825657</v>
      </c>
    </row>
    <row r="33" spans="1:5" s="3" customFormat="1" x14ac:dyDescent="0.6">
      <c r="A33" s="28" t="s">
        <v>34</v>
      </c>
      <c r="B33" s="29">
        <v>5065456980</v>
      </c>
      <c r="C33" s="29">
        <v>6547326350</v>
      </c>
      <c r="D33" s="29">
        <v>2417232161</v>
      </c>
      <c r="E33" s="30">
        <v>2321365628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CCFCC-056E-490E-A30E-781ACB68CF64}">
  <dimension ref="A1:F37"/>
  <sheetViews>
    <sheetView zoomScale="85" workbookViewId="0">
      <selection sqref="A1:E37"/>
    </sheetView>
  </sheetViews>
  <sheetFormatPr defaultRowHeight="20.399999999999999" x14ac:dyDescent="0.6"/>
  <cols>
    <col min="1" max="1" width="25.08984375" bestFit="1" customWidth="1"/>
    <col min="2" max="2" width="14.1796875" style="26" bestFit="1" customWidth="1"/>
    <col min="3" max="3" width="14.453125" style="26" bestFit="1" customWidth="1"/>
    <col min="4" max="4" width="14.08984375" style="26" bestFit="1" customWidth="1"/>
    <col min="5" max="5" width="15.26953125" style="27" bestFit="1" customWidth="1"/>
    <col min="6" max="16384" width="8.7265625" style="27"/>
  </cols>
  <sheetData>
    <row r="1" spans="1:5" customFormat="1" x14ac:dyDescent="0.6">
      <c r="A1" s="3" t="s">
        <v>112</v>
      </c>
      <c r="B1" s="5"/>
      <c r="C1" s="5"/>
      <c r="D1" s="5"/>
    </row>
    <row r="2" spans="1:5" customFormat="1" x14ac:dyDescent="0.6">
      <c r="A2" s="3" t="s">
        <v>113</v>
      </c>
      <c r="B2" s="24">
        <v>2025</v>
      </c>
      <c r="C2" s="24">
        <v>2024</v>
      </c>
      <c r="D2" s="24">
        <v>2023</v>
      </c>
      <c r="E2" s="25">
        <v>2022</v>
      </c>
    </row>
    <row r="3" spans="1:5" customFormat="1" x14ac:dyDescent="0.6">
      <c r="A3" t="s">
        <v>114</v>
      </c>
      <c r="B3" s="5">
        <f>('Profit or loss'!B2-'Profit or loss'!C2)/'Profit or loss'!C2</f>
        <v>-5.7223280632116742E-2</v>
      </c>
      <c r="C3" s="5">
        <f>('Profit or loss'!C2-'Profit or loss'!D2)/'Profit or loss'!D2</f>
        <v>0.13178123127903885</v>
      </c>
      <c r="D3" s="5">
        <f>('Profit or loss'!D2-'Profit or loss'!E2)/'Profit or loss'!E2</f>
        <v>-0.18740321744575122</v>
      </c>
    </row>
    <row r="4" spans="1:5" customFormat="1" x14ac:dyDescent="0.6">
      <c r="A4" t="s">
        <v>115</v>
      </c>
      <c r="B4" s="5">
        <f>('Profit or loss'!B4-'Profit or loss'!C4)/'Profit or loss'!C4</f>
        <v>-0.10880818976640015</v>
      </c>
      <c r="C4" s="5">
        <f>('Profit or loss'!C4-'Profit or loss'!D4)/'Profit or loss'!D4</f>
        <v>0.22681858532775909</v>
      </c>
      <c r="D4" s="5">
        <f>('Profit or loss'!D4-'Profit or loss'!E4)/'Profit or loss'!E4</f>
        <v>-0.11997283412465085</v>
      </c>
    </row>
    <row r="5" spans="1:5" customFormat="1" x14ac:dyDescent="0.6">
      <c r="A5" t="s">
        <v>116</v>
      </c>
      <c r="B5" s="5">
        <f>('Profit or loss'!B9-'Profit or loss'!C9)/'Profit or loss'!C9</f>
        <v>-0.21150910228046627</v>
      </c>
      <c r="C5" s="5">
        <f>('Profit or loss'!C9-'Profit or loss'!D9)/'Profit or loss'!D9</f>
        <v>0.207376006449186</v>
      </c>
      <c r="D5" s="5">
        <f>('Profit or loss'!D9-'Profit or loss'!E9)/'Profit or loss'!E9</f>
        <v>-0.10269785991936016</v>
      </c>
    </row>
    <row r="6" spans="1:5" customFormat="1" x14ac:dyDescent="0.6">
      <c r="A6" t="s">
        <v>117</v>
      </c>
      <c r="B6" s="5">
        <f>('Profit or loss'!B22-'Profit or loss'!C22)/'Profit or loss'!C22</f>
        <v>-0.23583028430549441</v>
      </c>
      <c r="C6" s="5">
        <f>('Profit or loss'!C22-'Profit or loss'!D22)/'Profit or loss'!D22</f>
        <v>0.73318520762485639</v>
      </c>
      <c r="D6" s="5">
        <f>('Profit or loss'!D22-'Profit or loss'!E22)/'Profit or loss'!E22</f>
        <v>-0.35667572348948701</v>
      </c>
    </row>
    <row r="7" spans="1:5" customFormat="1" x14ac:dyDescent="0.6">
      <c r="A7" t="s">
        <v>118</v>
      </c>
      <c r="B7" s="5">
        <f>('Financial Statement'!B17-'Financial Statement'!C17)/'Financial Statement'!C17</f>
        <v>2.3106388553824427E-3</v>
      </c>
      <c r="C7" s="5">
        <f>('Financial Statement'!C17-'Financial Statement'!D17)/'Financial Statement'!D17</f>
        <v>7.7515733001668183E-2</v>
      </c>
      <c r="D7" s="5">
        <f>('Financial Statement'!D17-'Financial Statement'!E17)/'Financial Statement'!E17</f>
        <v>-8.5344854874271986E-2</v>
      </c>
    </row>
    <row r="8" spans="1:5" customFormat="1" x14ac:dyDescent="0.6">
      <c r="A8" t="s">
        <v>119</v>
      </c>
      <c r="B8" s="5">
        <f>('Financial Statement'!B24-'Financial Statement'!C24)/'Financial Statement'!C24</f>
        <v>5.3891405099994856E-2</v>
      </c>
      <c r="C8" s="5">
        <f>('Financial Statement'!C24-'Financial Statement'!D24)/'Financial Statement'!D24</f>
        <v>0.10350144584423339</v>
      </c>
      <c r="D8" s="5">
        <f>('Financial Statement'!D24-'Financial Statement'!E24)/'Financial Statement'!E24</f>
        <v>2.7024299830439077E-2</v>
      </c>
    </row>
    <row r="9" spans="1:5" customFormat="1" x14ac:dyDescent="0.6">
      <c r="A9" t="s">
        <v>120</v>
      </c>
      <c r="B9" s="5">
        <f>('Cash flow'!B12-'Cash flow'!C12)/'Cash flow'!C12</f>
        <v>2.1699655686224159E-2</v>
      </c>
      <c r="C9" s="5">
        <f>('Cash flow'!C12-'Cash flow'!D12)/'Cash flow'!D12</f>
        <v>-0.4906737361623385</v>
      </c>
      <c r="D9" s="5">
        <f>ABS(('Cash flow'!D12-'Cash flow'!E12)/'Cash flow'!E12)</f>
        <v>15.141978723396546</v>
      </c>
    </row>
    <row r="10" spans="1:5" customFormat="1" x14ac:dyDescent="0.6">
      <c r="A10" s="3" t="s">
        <v>126</v>
      </c>
      <c r="B10" s="24"/>
      <c r="C10" s="24"/>
      <c r="D10" s="24"/>
    </row>
    <row r="11" spans="1:5" customFormat="1" x14ac:dyDescent="0.6">
      <c r="A11" t="s">
        <v>122</v>
      </c>
      <c r="B11">
        <f>'Profit or loss'!B4/'Profit or loss'!B2</f>
        <v>0.36049004243659954</v>
      </c>
      <c r="C11">
        <f>'Profit or loss'!C4/'Profit or loss'!C2</f>
        <v>0.3813563092372691</v>
      </c>
      <c r="D11">
        <f>'Profit or loss'!D4/'Profit or loss'!D2</f>
        <v>0.35181396694383799</v>
      </c>
    </row>
    <row r="12" spans="1:5" customFormat="1" x14ac:dyDescent="0.6">
      <c r="A12" t="s">
        <v>123</v>
      </c>
      <c r="B12">
        <f>('Profit or loss'!B9/'Profit or loss'!B2)</f>
        <v>0.20927373154738368</v>
      </c>
      <c r="C12">
        <f>('Profit or loss'!C9/'Profit or loss'!C2)</f>
        <v>0.25022280237951022</v>
      </c>
      <c r="D12">
        <f>('Profit or loss'!D9/'Profit or loss'!D2)</f>
        <v>0.23455615306124805</v>
      </c>
    </row>
    <row r="13" spans="1:5" customFormat="1" x14ac:dyDescent="0.6">
      <c r="A13" t="s">
        <v>121</v>
      </c>
      <c r="B13">
        <f>'Profit or loss'!B22/'Profit or loss'!B2</f>
        <v>0.14636822930795296</v>
      </c>
      <c r="C13">
        <f>'Profit or loss'!C22/'Profit or loss'!C2</f>
        <v>0.18057841891997151</v>
      </c>
      <c r="D13">
        <f>'Profit or loss'!D22/'Profit or loss'!D2</f>
        <v>0.11791888391878311</v>
      </c>
    </row>
    <row r="14" spans="1:5" customFormat="1" x14ac:dyDescent="0.6">
      <c r="A14" t="s">
        <v>124</v>
      </c>
      <c r="B14">
        <f>('Profit or loss'!B22/AVERAGE('Financial Statement'!B17,'Financial Statement'!C17))</f>
        <v>6.5844541778153423E-2</v>
      </c>
      <c r="C14">
        <f>('Profit or loss'!C22/AVERAGE('Financial Statement'!C17,'Financial Statement'!D17))</f>
        <v>8.9483036070302738E-2</v>
      </c>
      <c r="D14">
        <f>('Profit or loss'!D22/AVERAGE('Financial Statement'!D17,'Financial Statement'!E17))</f>
        <v>5.1239735240871574E-2</v>
      </c>
    </row>
    <row r="15" spans="1:5" customFormat="1" x14ac:dyDescent="0.6">
      <c r="A15" t="s">
        <v>125</v>
      </c>
      <c r="B15">
        <f>'Profit or loss'!B22/AVERAGE('Financial Statement'!B24,'Financial Statement'!C24)</f>
        <v>8.7850877832632457E-2</v>
      </c>
      <c r="C15">
        <f>'Profit or loss'!C22/AVERAGE('Financial Statement'!C24,'Financial Statement'!D24)</f>
        <v>0.12386934815327685</v>
      </c>
      <c r="D15">
        <f>'Profit or loss'!D22/AVERAGE('Financial Statement'!D24,'Financial Statement'!E24)</f>
        <v>7.616991265363611E-2</v>
      </c>
    </row>
    <row r="16" spans="1:5" customFormat="1" x14ac:dyDescent="0.6">
      <c r="A16" s="3" t="s">
        <v>127</v>
      </c>
      <c r="B16" s="5"/>
      <c r="C16" s="5"/>
      <c r="D16" s="5"/>
    </row>
    <row r="17" spans="1:6" customFormat="1" x14ac:dyDescent="0.6">
      <c r="A17" t="s">
        <v>128</v>
      </c>
      <c r="B17" s="26">
        <f>('Financial Statement'!B16/'Financial Statement'!B38)</f>
        <v>2.5500821502295117</v>
      </c>
      <c r="C17" s="26">
        <f>('Financial Statement'!C16/'Financial Statement'!C38)</f>
        <v>2.2279701085767845</v>
      </c>
      <c r="D17" s="26">
        <f>('Financial Statement'!D16/'Financial Statement'!D38)</f>
        <v>1.9635200419940688</v>
      </c>
      <c r="E17" s="26">
        <f>('Financial Statement'!E16/'Financial Statement'!E38)</f>
        <v>1.5932929160459495</v>
      </c>
    </row>
    <row r="18" spans="1:6" customFormat="1" x14ac:dyDescent="0.6">
      <c r="A18" t="s">
        <v>129</v>
      </c>
      <c r="B18" s="26">
        <f>('Financial Statement'!B16-'Financial Statement'!B10)/'Financial Statement'!B38</f>
        <v>1.5133754380270465</v>
      </c>
      <c r="C18" s="26">
        <f>('Financial Statement'!C16-'Financial Statement'!C10)/'Financial Statement'!C38</f>
        <v>1.4870534309540404</v>
      </c>
      <c r="D18" s="26">
        <f>('Financial Statement'!D16-'Financial Statement'!D10)/'Financial Statement'!D38</f>
        <v>1.2413323867127091</v>
      </c>
      <c r="E18" s="26">
        <f>('Financial Statement'!E16-'Financial Statement'!E10)/'Financial Statement'!E38</f>
        <v>0.93352632822844883</v>
      </c>
    </row>
    <row r="19" spans="1:6" customFormat="1" x14ac:dyDescent="0.6">
      <c r="A19" t="s">
        <v>130</v>
      </c>
      <c r="B19" s="26">
        <f>('Financial Statement'!B15/'Financial Statement'!B38)</f>
        <v>0.17712028555977555</v>
      </c>
      <c r="C19" s="26">
        <f>('Financial Statement'!C15/'Financial Statement'!C38)</f>
        <v>0.18527615732914049</v>
      </c>
      <c r="D19" s="26">
        <f>('Financial Statement'!D15/'Financial Statement'!D38)</f>
        <v>6.8261792508137742E-2</v>
      </c>
      <c r="E19" s="26">
        <f>('Financial Statement'!E15/'Financial Statement'!E38)</f>
        <v>4.2311055672886427E-2</v>
      </c>
    </row>
    <row r="20" spans="1:6" customFormat="1" x14ac:dyDescent="0.6">
      <c r="A20" s="3" t="s">
        <v>132</v>
      </c>
      <c r="B20" s="5"/>
      <c r="C20" s="5"/>
      <c r="D20" s="5"/>
    </row>
    <row r="21" spans="1:6" customFormat="1" x14ac:dyDescent="0.6">
      <c r="A21" t="s">
        <v>133</v>
      </c>
      <c r="B21" s="26">
        <f>'Financial Statement'!B42/'Financial Statement'!B24</f>
        <v>0.2184905162868353</v>
      </c>
      <c r="C21" s="26">
        <f>'Financial Statement'!C42/'Financial Statement'!C24</f>
        <v>0.25710391635759666</v>
      </c>
      <c r="D21" s="26">
        <f>'Financial Statement'!D42/'Financial Statement'!D24</f>
        <v>0.29711006791171046</v>
      </c>
      <c r="E21" s="26">
        <f>'Financial Statement'!E42/'Financial Statement'!E24</f>
        <v>0.45938506410860003</v>
      </c>
    </row>
    <row r="22" spans="1:6" customFormat="1" x14ac:dyDescent="0.6">
      <c r="A22" t="s">
        <v>134</v>
      </c>
      <c r="B22" s="26">
        <f>'Financial Statement'!B42/'Financial Statement'!B17</f>
        <v>0.16786253024075137</v>
      </c>
      <c r="C22" s="26">
        <f>'Financial Statement'!C42/'Financial Statement'!C17</f>
        <v>0.18786087626238024</v>
      </c>
      <c r="D22" s="26">
        <f>'Financial Statement'!D42/'Financial Statement'!D17</f>
        <v>0.21198041292411302</v>
      </c>
      <c r="E22" s="26">
        <f>'Financial Statement'!E42/'Financial Statement'!E17</f>
        <v>0.29189852372492908</v>
      </c>
    </row>
    <row r="23" spans="1:6" customFormat="1" x14ac:dyDescent="0.6">
      <c r="A23" t="s">
        <v>136</v>
      </c>
      <c r="B23" s="26">
        <f>'Profit or loss'!B29/ABS('Profit or loss'!B11)</f>
        <v>3.42954963552264</v>
      </c>
      <c r="C23" s="26">
        <f>'Profit or loss'!C29/ABS('Profit or loss'!C11)</f>
        <v>4.1108011278817695</v>
      </c>
      <c r="D23" s="26">
        <f>'Profit or loss'!D29/ABS('Profit or loss'!D11)</f>
        <v>2.0969880191278722</v>
      </c>
      <c r="E23" s="26">
        <f>'Profit or loss'!E29/ABS('Profit or loss'!E11)</f>
        <v>3.7356392518500185</v>
      </c>
      <c r="F23" t="s">
        <v>137</v>
      </c>
    </row>
    <row r="24" spans="1:6" x14ac:dyDescent="0.6">
      <c r="A24" s="3" t="s">
        <v>138</v>
      </c>
    </row>
    <row r="25" spans="1:6" x14ac:dyDescent="0.6">
      <c r="A25" t="s">
        <v>139</v>
      </c>
      <c r="B25" s="26">
        <f>('Profit or loss'!B2/AVERAGE('Financial Statement'!B17,'Financial Statement'!C17))</f>
        <v>0.44985542347184582</v>
      </c>
      <c r="C25" s="26">
        <f>('Profit or loss'!C2/AVERAGE('Financial Statement'!C17,'Financial Statement'!D17))</f>
        <v>0.49553560500471378</v>
      </c>
      <c r="D25" s="26">
        <f>('Profit or loss'!D2/AVERAGE('Financial Statement'!D17,'Financial Statement'!E17))</f>
        <v>0.43453375352639073</v>
      </c>
    </row>
    <row r="26" spans="1:6" x14ac:dyDescent="0.6">
      <c r="A26" t="s">
        <v>140</v>
      </c>
      <c r="B26" s="26">
        <f>ABS('Profit or loss'!B3)/AVERAGE('Financial Statement'!B10,'Financial Statement'!C10)</f>
        <v>1.6224445660618705</v>
      </c>
      <c r="C26" s="26">
        <f>ABS('Profit or loss'!C3)/AVERAGE('Financial Statement'!C10,'Financial Statement'!D10)</f>
        <v>1.7958517495913413</v>
      </c>
      <c r="D26" s="26">
        <f>ABS('Profit or loss'!D3)/AVERAGE('Financial Statement'!D10,'Financial Statement'!E10)</f>
        <v>1.3929762984104919</v>
      </c>
    </row>
    <row r="27" spans="1:6" x14ac:dyDescent="0.6">
      <c r="A27" t="s">
        <v>141</v>
      </c>
      <c r="B27" s="26">
        <f>365/B26</f>
        <v>224.96916544024535</v>
      </c>
      <c r="C27" s="26">
        <f t="shared" ref="C27:D27" si="0">365/C26</f>
        <v>203.24617557270989</v>
      </c>
      <c r="D27" s="26">
        <f t="shared" si="0"/>
        <v>262.0288661167437</v>
      </c>
    </row>
    <row r="28" spans="1:6" x14ac:dyDescent="0.6">
      <c r="A28" t="s">
        <v>142</v>
      </c>
      <c r="B28" s="26">
        <f>365/B27</f>
        <v>1.6224445660618705</v>
      </c>
      <c r="C28" s="26">
        <f>'Profit or loss'!C2/AVERAGE('Financial Statement'!C11,'Financial Statement'!D11)</f>
        <v>2.0889740366529002</v>
      </c>
      <c r="D28" s="26">
        <f>'Profit or loss'!D2/AVERAGE('Financial Statement'!D11,'Financial Statement'!E11)</f>
        <v>1.7337084480558986</v>
      </c>
    </row>
    <row r="29" spans="1:6" x14ac:dyDescent="0.6">
      <c r="A29" t="s">
        <v>143</v>
      </c>
      <c r="B29" s="26">
        <f>365/B28</f>
        <v>224.96916544024535</v>
      </c>
      <c r="C29" s="26">
        <f t="shared" ref="C29:D29" si="1">365/C28</f>
        <v>174.72692029472441</v>
      </c>
      <c r="D29" s="26">
        <f t="shared" si="1"/>
        <v>210.53136149235144</v>
      </c>
    </row>
    <row r="30" spans="1:6" x14ac:dyDescent="0.6">
      <c r="A30" t="s">
        <v>144</v>
      </c>
      <c r="B30" s="26">
        <f>(AVERAGE('Financial Statement'!B32,'Financial Statement'!C32)/ABS('Profit or loss'!B3))*365</f>
        <v>24.310264400735289</v>
      </c>
      <c r="C30" s="26">
        <f>(AVERAGE('Financial Statement'!C32,'Financial Statement'!D32)/ABS('Profit or loss'!C3))*365</f>
        <v>26.26420705952081</v>
      </c>
      <c r="D30" s="26">
        <f>(AVERAGE('Financial Statement'!D32,'Financial Statement'!E32)/ABS('Profit or loss'!D3))*365</f>
        <v>32.406079027639883</v>
      </c>
    </row>
    <row r="31" spans="1:6" x14ac:dyDescent="0.6">
      <c r="A31" s="3" t="s">
        <v>145</v>
      </c>
    </row>
    <row r="32" spans="1:6" x14ac:dyDescent="0.6">
      <c r="A32" t="s">
        <v>146</v>
      </c>
      <c r="B32" s="26">
        <f>'Cash flow'!B12</f>
        <v>17630498766</v>
      </c>
      <c r="C32" s="26">
        <f>'Cash flow'!C12</f>
        <v>17256048456</v>
      </c>
      <c r="D32" s="26">
        <f>'Cash flow'!D12</f>
        <v>33880146541</v>
      </c>
      <c r="E32" s="26">
        <f>'Cash flow'!E12</f>
        <v>-2395714716</v>
      </c>
    </row>
    <row r="33" spans="1:5" x14ac:dyDescent="0.6">
      <c r="A33" t="s">
        <v>147</v>
      </c>
      <c r="B33" s="26">
        <f>B32/'Profit or loss'!B2</f>
        <v>0.24893931750827292</v>
      </c>
      <c r="C33" s="26">
        <f>C32/'Profit or loss'!C2</f>
        <v>0.22970957440961173</v>
      </c>
      <c r="D33" s="26">
        <f>D32/'Profit or loss'!D2</f>
        <v>0.51044095586784544</v>
      </c>
      <c r="E33" s="26">
        <f>E32/'Profit or loss'!E2</f>
        <v>-2.9329889864415391E-2</v>
      </c>
    </row>
    <row r="34" spans="1:5" x14ac:dyDescent="0.6">
      <c r="A34" t="s">
        <v>148</v>
      </c>
      <c r="B34" s="26">
        <f>B32-ABS('Cash flow'!B14)</f>
        <v>12433939591</v>
      </c>
      <c r="C34" s="26">
        <f>C32-ABS('Cash flow'!C14)</f>
        <v>12455172751</v>
      </c>
      <c r="D34" s="26">
        <f>D32-ABS('Cash flow'!D14)</f>
        <v>27455373019</v>
      </c>
      <c r="E34" s="26">
        <f>E32-ABS('Cash flow'!E14)</f>
        <v>-10014495064</v>
      </c>
    </row>
    <row r="35" spans="1:5" ht="40.799999999999997" x14ac:dyDescent="0.6">
      <c r="A35" s="35" t="s">
        <v>149</v>
      </c>
      <c r="B35" s="26">
        <f>'Cash flow'!B21</f>
        <v>-4431045821</v>
      </c>
      <c r="C35" s="26">
        <f>'Cash flow'!C21</f>
        <v>-4583580736</v>
      </c>
      <c r="D35" s="26">
        <f>'Cash flow'!D21</f>
        <v>-6235817210</v>
      </c>
      <c r="E35" s="26">
        <f>'Cash flow'!E21</f>
        <v>-6471431925</v>
      </c>
    </row>
    <row r="36" spans="1:5" ht="40.799999999999997" x14ac:dyDescent="0.6">
      <c r="A36" s="35" t="s">
        <v>150</v>
      </c>
      <c r="B36" s="26">
        <f>'Cash flow'!B31</f>
        <v>-1481869370</v>
      </c>
      <c r="C36" s="26">
        <f>'Cash flow'!C31</f>
        <v>4130094189</v>
      </c>
      <c r="D36" s="26">
        <f>'Cash flow'!D31</f>
        <v>95866533</v>
      </c>
      <c r="E36" s="26">
        <f>'Cash flow'!E31</f>
        <v>-1382460029</v>
      </c>
    </row>
    <row r="37" spans="1:5" x14ac:dyDescent="0.6">
      <c r="A37" t="s">
        <v>151</v>
      </c>
      <c r="B37" s="26">
        <f>Growth!B32/'Profit or loss'!B2</f>
        <v>0.24893931750827292</v>
      </c>
      <c r="C37" s="26">
        <f>Growth!C32/'Profit or loss'!C2</f>
        <v>0.22970957440961173</v>
      </c>
      <c r="D37" s="26">
        <f>Growth!D32/'Profit or loss'!D2</f>
        <v>0.51044095586784544</v>
      </c>
      <c r="E37" s="26">
        <f>Growth!E32/'Profit or loss'!E2</f>
        <v>-2.9329889864415391E-2</v>
      </c>
    </row>
  </sheetData>
  <pageMargins left="0.7" right="0.7" top="0.75" bottom="0.75" header="0.3" footer="0.3"/>
  <ignoredErrors>
    <ignoredError sqref="C28:D2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22C30-8182-4ABC-89F9-BFE69CAF0F90}">
  <dimension ref="A1:K38"/>
  <sheetViews>
    <sheetView zoomScale="70" zoomScaleNormal="70" workbookViewId="0">
      <selection activeCell="E33" sqref="E33"/>
    </sheetView>
  </sheetViews>
  <sheetFormatPr defaultRowHeight="20.399999999999999" x14ac:dyDescent="0.6"/>
  <cols>
    <col min="1" max="1" width="17.7265625" bestFit="1" customWidth="1"/>
    <col min="2" max="2" width="31.90625" bestFit="1" customWidth="1"/>
    <col min="3" max="4" width="27.26953125" bestFit="1" customWidth="1"/>
    <col min="5" max="5" width="27.54296875" bestFit="1" customWidth="1"/>
    <col min="7" max="7" width="24.08984375" bestFit="1" customWidth="1"/>
  </cols>
  <sheetData>
    <row r="1" spans="1:11" x14ac:dyDescent="0.6">
      <c r="A1" t="s">
        <v>152</v>
      </c>
      <c r="B1" s="3" t="s">
        <v>113</v>
      </c>
      <c r="C1" s="24">
        <v>2025</v>
      </c>
      <c r="D1" s="24">
        <v>2024</v>
      </c>
      <c r="E1" s="24">
        <v>2023</v>
      </c>
    </row>
    <row r="2" spans="1:11" x14ac:dyDescent="0.6">
      <c r="B2" s="3" t="s">
        <v>161</v>
      </c>
      <c r="C2" s="38">
        <v>70822475704</v>
      </c>
      <c r="D2" s="38">
        <v>75121154616</v>
      </c>
      <c r="E2" s="38">
        <v>66374271405</v>
      </c>
    </row>
    <row r="3" spans="1:11" x14ac:dyDescent="0.6">
      <c r="B3" s="3" t="s">
        <v>160</v>
      </c>
      <c r="C3" s="38">
        <v>10366160364</v>
      </c>
      <c r="D3" s="38">
        <v>13565259328</v>
      </c>
      <c r="E3" s="38">
        <v>7826780005</v>
      </c>
    </row>
    <row r="4" spans="1:11" x14ac:dyDescent="0.6">
      <c r="A4" s="3" t="s">
        <v>112</v>
      </c>
      <c r="B4" t="s">
        <v>114</v>
      </c>
      <c r="C4" s="5">
        <v>-5.7223280632116742E-2</v>
      </c>
      <c r="D4" s="5">
        <v>0.13178123127903885</v>
      </c>
      <c r="E4" s="5">
        <v>-0.18740321744575122</v>
      </c>
    </row>
    <row r="5" spans="1:11" x14ac:dyDescent="0.6">
      <c r="A5" s="3" t="s">
        <v>112</v>
      </c>
      <c r="B5" t="s">
        <v>115</v>
      </c>
      <c r="C5" s="5">
        <v>-0.10880818976640015</v>
      </c>
      <c r="D5" s="5">
        <v>0.22681858532775909</v>
      </c>
      <c r="E5" s="5">
        <v>-0.11997283412465085</v>
      </c>
    </row>
    <row r="6" spans="1:11" x14ac:dyDescent="0.6">
      <c r="A6" s="3" t="s">
        <v>112</v>
      </c>
      <c r="B6" t="s">
        <v>116</v>
      </c>
      <c r="C6" s="5">
        <v>-0.21150910228046627</v>
      </c>
      <c r="D6" s="5">
        <v>0.207376006449186</v>
      </c>
      <c r="E6" s="5">
        <v>-0.10269785991936016</v>
      </c>
    </row>
    <row r="7" spans="1:11" x14ac:dyDescent="0.6">
      <c r="A7" s="3" t="s">
        <v>112</v>
      </c>
      <c r="B7" t="s">
        <v>117</v>
      </c>
      <c r="C7" s="5">
        <v>-0.23583028430549441</v>
      </c>
      <c r="D7" s="5">
        <v>0.73318520762485639</v>
      </c>
      <c r="E7" s="5">
        <v>-0.35667572348948701</v>
      </c>
      <c r="G7" s="72" t="s">
        <v>169</v>
      </c>
      <c r="H7" s="72"/>
      <c r="I7" s="72"/>
      <c r="J7" s="72"/>
      <c r="K7" s="72"/>
    </row>
    <row r="8" spans="1:11" x14ac:dyDescent="0.6">
      <c r="A8" s="3" t="s">
        <v>112</v>
      </c>
      <c r="B8" t="s">
        <v>118</v>
      </c>
      <c r="C8" s="5">
        <v>2.3106388553824427E-3</v>
      </c>
      <c r="D8" s="5">
        <v>7.7515733001668183E-2</v>
      </c>
      <c r="E8" s="5">
        <v>-8.5344854874271986E-2</v>
      </c>
      <c r="H8" s="42">
        <v>2025</v>
      </c>
      <c r="I8" s="42">
        <v>2024</v>
      </c>
      <c r="J8" s="42">
        <v>2023</v>
      </c>
    </row>
    <row r="9" spans="1:11" x14ac:dyDescent="0.6">
      <c r="A9" s="3" t="s">
        <v>112</v>
      </c>
      <c r="B9" t="s">
        <v>119</v>
      </c>
      <c r="C9" s="5">
        <v>5.3891405099994856E-2</v>
      </c>
      <c r="D9" s="5">
        <v>0.10350144584423339</v>
      </c>
      <c r="E9" s="5">
        <v>2.7024299830439077E-2</v>
      </c>
      <c r="G9" s="43" t="s">
        <v>128</v>
      </c>
      <c r="H9" s="44">
        <v>2.5499999999999998</v>
      </c>
      <c r="I9" s="44">
        <v>2.23</v>
      </c>
      <c r="J9" s="44">
        <v>1.96</v>
      </c>
      <c r="K9">
        <f>_xlfn.XLOOKUP(Dashboard!$C$3,Calc!$H$8:$J$8,Calc!H9:J9)</f>
        <v>1.96</v>
      </c>
    </row>
    <row r="10" spans="1:11" x14ac:dyDescent="0.6">
      <c r="A10" s="3" t="s">
        <v>112</v>
      </c>
      <c r="B10" t="s">
        <v>120</v>
      </c>
      <c r="C10" s="5">
        <v>2.1699655686224159E-2</v>
      </c>
      <c r="D10" s="5">
        <v>-0.4906737361623385</v>
      </c>
      <c r="E10" s="5">
        <v>15.141978723396546</v>
      </c>
      <c r="G10" s="43" t="s">
        <v>129</v>
      </c>
      <c r="H10" s="44">
        <v>1.51</v>
      </c>
      <c r="I10" s="44">
        <v>1.49</v>
      </c>
      <c r="J10" s="44">
        <v>1.24</v>
      </c>
      <c r="K10">
        <f>_xlfn.XLOOKUP(Dashboard!$C$3,Calc!$H$8:$J$8,Calc!H10:J10)</f>
        <v>1.24</v>
      </c>
    </row>
    <row r="11" spans="1:11" x14ac:dyDescent="0.6">
      <c r="B11" s="3" t="s">
        <v>126</v>
      </c>
      <c r="C11" s="24"/>
      <c r="D11" s="24"/>
      <c r="E11" s="24"/>
      <c r="G11" s="43" t="s">
        <v>130</v>
      </c>
      <c r="H11" s="44">
        <v>0.18</v>
      </c>
      <c r="I11" s="44">
        <v>0.19</v>
      </c>
      <c r="J11" s="44">
        <v>7.0000000000000007E-2</v>
      </c>
      <c r="K11">
        <f>_xlfn.XLOOKUP(Dashboard!$C$3,Calc!$H$8:$J$8,Calc!H11:J11)</f>
        <v>7.0000000000000007E-2</v>
      </c>
    </row>
    <row r="12" spans="1:11" x14ac:dyDescent="0.6">
      <c r="A12" s="3" t="s">
        <v>153</v>
      </c>
      <c r="B12" t="s">
        <v>122</v>
      </c>
      <c r="C12">
        <v>0.36049004243659954</v>
      </c>
      <c r="D12">
        <v>0.3813563092372691</v>
      </c>
      <c r="E12">
        <v>0.35181396694383799</v>
      </c>
      <c r="G12" s="43" t="s">
        <v>134</v>
      </c>
      <c r="H12" s="44">
        <v>0.17</v>
      </c>
      <c r="I12" s="44">
        <v>0.19</v>
      </c>
      <c r="J12" s="44">
        <v>0.21</v>
      </c>
      <c r="K12">
        <f>_xlfn.XLOOKUP(Dashboard!$C$3,Calc!$H$8:$J$8,Calc!H12:J12)</f>
        <v>0.21</v>
      </c>
    </row>
    <row r="13" spans="1:11" x14ac:dyDescent="0.6">
      <c r="A13" s="3" t="s">
        <v>153</v>
      </c>
      <c r="B13" t="s">
        <v>123</v>
      </c>
      <c r="C13">
        <v>0.20927373154738368</v>
      </c>
      <c r="D13">
        <v>0.25022280237951022</v>
      </c>
      <c r="E13">
        <v>0.23455615306124805</v>
      </c>
      <c r="G13" s="43" t="s">
        <v>136</v>
      </c>
      <c r="H13" s="44">
        <v>3.43</v>
      </c>
      <c r="I13" s="44">
        <v>4.1100000000000003</v>
      </c>
      <c r="J13" s="44">
        <v>2.1</v>
      </c>
      <c r="K13">
        <f>_xlfn.XLOOKUP(Dashboard!$C$3,Calc!$H$8:$J$8,Calc!H13:J13)</f>
        <v>2.1</v>
      </c>
    </row>
    <row r="14" spans="1:11" x14ac:dyDescent="0.6">
      <c r="A14" s="3" t="s">
        <v>153</v>
      </c>
      <c r="B14" t="s">
        <v>121</v>
      </c>
      <c r="C14">
        <v>0.14636822930795296</v>
      </c>
      <c r="D14">
        <v>0.18057841891997151</v>
      </c>
      <c r="E14">
        <v>0.11791888391878311</v>
      </c>
    </row>
    <row r="15" spans="1:11" x14ac:dyDescent="0.6">
      <c r="A15" s="3" t="s">
        <v>153</v>
      </c>
      <c r="B15" t="s">
        <v>124</v>
      </c>
      <c r="C15">
        <v>6.5844541778153423E-2</v>
      </c>
      <c r="D15">
        <v>8.9483036070302738E-2</v>
      </c>
      <c r="E15">
        <v>5.1239735240871574E-2</v>
      </c>
      <c r="G15" t="s">
        <v>147</v>
      </c>
      <c r="H15" s="26">
        <v>0.24893931750827292</v>
      </c>
      <c r="I15" s="26">
        <v>0.22970957440961173</v>
      </c>
      <c r="J15" s="26">
        <v>0.51044095586784544</v>
      </c>
      <c r="K15" s="27">
        <f>_xlfn.XLOOKUP(Dashboard!$C$3,Calc!$H$8:$J$8,Calc!H15:J15)</f>
        <v>0.51044095586784544</v>
      </c>
    </row>
    <row r="16" spans="1:11" x14ac:dyDescent="0.6">
      <c r="A16" s="3" t="s">
        <v>153</v>
      </c>
      <c r="B16" t="s">
        <v>125</v>
      </c>
      <c r="C16">
        <v>8.7850877832632457E-2</v>
      </c>
      <c r="D16">
        <v>0.12386934815327685</v>
      </c>
      <c r="E16">
        <v>7.616991265363611E-2</v>
      </c>
      <c r="G16" s="43" t="s">
        <v>175</v>
      </c>
    </row>
    <row r="17" spans="1:11" x14ac:dyDescent="0.6">
      <c r="C17" s="5"/>
      <c r="D17" s="5"/>
      <c r="E17" s="5"/>
      <c r="G17" t="s">
        <v>139</v>
      </c>
      <c r="H17" s="26">
        <v>0.44985542347184582</v>
      </c>
      <c r="I17" s="26">
        <v>0.49553560500471378</v>
      </c>
      <c r="J17" s="26">
        <v>0.43453375352639073</v>
      </c>
      <c r="K17" s="27">
        <f>_xlfn.XLOOKUP(Dashboard!$C$3,Calc!$H$8:$J$8,Calc!H17:J17)</f>
        <v>0.43453375352639073</v>
      </c>
    </row>
    <row r="18" spans="1:11" x14ac:dyDescent="0.6">
      <c r="A18" s="3" t="s">
        <v>127</v>
      </c>
      <c r="B18" t="s">
        <v>128</v>
      </c>
      <c r="C18" s="26">
        <v>2.5500821502295117</v>
      </c>
      <c r="D18" s="26">
        <v>2.2279701085767845</v>
      </c>
      <c r="E18" s="26">
        <v>1.9635200419940688</v>
      </c>
      <c r="G18" t="s">
        <v>140</v>
      </c>
      <c r="H18" s="26">
        <v>1.6224445660618705</v>
      </c>
      <c r="I18" s="26">
        <v>1.7958517495913413</v>
      </c>
      <c r="J18" s="26">
        <v>1.3929762984104919</v>
      </c>
      <c r="K18">
        <f>_xlfn.XLOOKUP(Dashboard!$C$3,$C$1:$E$1,C27:E27)</f>
        <v>1.3929762984104919</v>
      </c>
    </row>
    <row r="19" spans="1:11" x14ac:dyDescent="0.6">
      <c r="A19" s="3" t="s">
        <v>127</v>
      </c>
      <c r="B19" t="s">
        <v>129</v>
      </c>
      <c r="C19" s="26">
        <v>1.5133754380270465</v>
      </c>
      <c r="D19" s="26">
        <v>1.4870534309540404</v>
      </c>
      <c r="E19" s="26">
        <v>1.2413323867127091</v>
      </c>
      <c r="G19" t="s">
        <v>141</v>
      </c>
      <c r="H19" s="26">
        <v>224.96916544024535</v>
      </c>
      <c r="I19" s="26">
        <v>203.24617557270989</v>
      </c>
      <c r="J19" s="26">
        <v>262.0288661167437</v>
      </c>
      <c r="K19">
        <f>_xlfn.XLOOKUP(Dashboard!$C$3,$C$1:$E$1,C28:E28)</f>
        <v>262.0288661167437</v>
      </c>
    </row>
    <row r="20" spans="1:11" x14ac:dyDescent="0.6">
      <c r="A20" s="3" t="s">
        <v>127</v>
      </c>
      <c r="B20" t="s">
        <v>130</v>
      </c>
      <c r="C20" s="26">
        <v>0.17712028555977555</v>
      </c>
      <c r="D20" s="26">
        <v>0.18527615732914049</v>
      </c>
      <c r="E20" s="26">
        <v>6.8261792508137742E-2</v>
      </c>
      <c r="G20" t="s">
        <v>183</v>
      </c>
      <c r="H20" s="26">
        <v>1.6224445660618705</v>
      </c>
      <c r="I20" s="26">
        <v>2.0889740366529002</v>
      </c>
      <c r="J20" s="26">
        <v>1.7337084480558986</v>
      </c>
      <c r="K20">
        <f>_xlfn.XLOOKUP(Dashboard!$C$3,$C$1:$E$1,C29:E29)</f>
        <v>1.7337084480558986</v>
      </c>
    </row>
    <row r="21" spans="1:11" x14ac:dyDescent="0.6">
      <c r="C21" s="5"/>
      <c r="D21" s="5"/>
      <c r="E21" s="5"/>
      <c r="G21" t="s">
        <v>184</v>
      </c>
      <c r="H21" s="26">
        <v>224.96916544024535</v>
      </c>
      <c r="I21" s="26">
        <v>174.72692029472441</v>
      </c>
      <c r="J21" s="26">
        <v>210.53136149235144</v>
      </c>
      <c r="K21">
        <f>_xlfn.XLOOKUP(Dashboard!$C$3,$C$1:$E$1,C30:E30)</f>
        <v>210.53136149235144</v>
      </c>
    </row>
    <row r="22" spans="1:11" x14ac:dyDescent="0.6">
      <c r="A22" s="3" t="s">
        <v>132</v>
      </c>
      <c r="B22" t="s">
        <v>133</v>
      </c>
      <c r="C22" s="26">
        <v>0.2184905162868353</v>
      </c>
      <c r="D22" s="26">
        <v>0.25710391635759666</v>
      </c>
      <c r="E22" s="26">
        <v>0.29711006791171046</v>
      </c>
      <c r="G22" t="s">
        <v>144</v>
      </c>
      <c r="H22" s="26">
        <v>24.310264400735289</v>
      </c>
      <c r="I22" s="26">
        <v>26.26420705952081</v>
      </c>
      <c r="J22" s="26">
        <v>32.406079027639883</v>
      </c>
      <c r="K22">
        <f>_xlfn.XLOOKUP(Dashboard!$C$3,$C$1:$E$1,C31:E31)</f>
        <v>32.406079027639883</v>
      </c>
    </row>
    <row r="23" spans="1:11" x14ac:dyDescent="0.6">
      <c r="A23" s="3" t="s">
        <v>132</v>
      </c>
      <c r="B23" t="s">
        <v>134</v>
      </c>
      <c r="C23" s="26">
        <v>0.16786253024075101</v>
      </c>
      <c r="D23" s="26">
        <v>0.18786087626238024</v>
      </c>
      <c r="E23" s="26">
        <v>0.21198041292411302</v>
      </c>
    </row>
    <row r="24" spans="1:11" x14ac:dyDescent="0.6">
      <c r="A24" s="3" t="s">
        <v>132</v>
      </c>
      <c r="B24" t="s">
        <v>136</v>
      </c>
      <c r="C24" s="26">
        <v>3.42954963552264</v>
      </c>
      <c r="D24" s="26">
        <v>4.1108011278817695</v>
      </c>
      <c r="E24" s="26">
        <v>2.0969880191278722</v>
      </c>
    </row>
    <row r="25" spans="1:11" x14ac:dyDescent="0.6">
      <c r="C25" s="26"/>
      <c r="D25" s="26"/>
      <c r="E25" s="26"/>
    </row>
    <row r="26" spans="1:11" x14ac:dyDescent="0.6">
      <c r="A26" s="3" t="s">
        <v>138</v>
      </c>
      <c r="B26" t="s">
        <v>139</v>
      </c>
      <c r="C26" s="26">
        <v>0.44985542347184582</v>
      </c>
      <c r="D26" s="26">
        <v>0.49553560500471378</v>
      </c>
      <c r="E26" s="26">
        <v>0.43453375352639073</v>
      </c>
    </row>
    <row r="27" spans="1:11" x14ac:dyDescent="0.6">
      <c r="A27" s="3" t="s">
        <v>138</v>
      </c>
      <c r="B27" t="s">
        <v>140</v>
      </c>
      <c r="C27" s="26">
        <v>1.62244456606187</v>
      </c>
      <c r="D27" s="26">
        <v>1.7958517495913413</v>
      </c>
      <c r="E27" s="26">
        <v>1.3929762984104919</v>
      </c>
    </row>
    <row r="28" spans="1:11" x14ac:dyDescent="0.6">
      <c r="A28" s="3" t="s">
        <v>138</v>
      </c>
      <c r="B28" t="s">
        <v>141</v>
      </c>
      <c r="C28" s="26">
        <v>224.96916544024535</v>
      </c>
      <c r="D28" s="26">
        <v>203.24617557270989</v>
      </c>
      <c r="E28" s="26">
        <v>262.0288661167437</v>
      </c>
    </row>
    <row r="29" spans="1:11" x14ac:dyDescent="0.6">
      <c r="A29" s="3" t="s">
        <v>138</v>
      </c>
      <c r="B29" t="s">
        <v>142</v>
      </c>
      <c r="C29" s="26">
        <v>1.9320612062990348</v>
      </c>
      <c r="D29" s="26">
        <v>2.0889740366529002</v>
      </c>
      <c r="E29" s="26">
        <v>1.7337084480558986</v>
      </c>
    </row>
    <row r="30" spans="1:11" x14ac:dyDescent="0.6">
      <c r="A30" s="3" t="s">
        <v>138</v>
      </c>
      <c r="B30" t="s">
        <v>143</v>
      </c>
      <c r="C30" s="26">
        <v>188.91741048886166</v>
      </c>
      <c r="D30" s="26">
        <v>174.72692029472441</v>
      </c>
      <c r="E30" s="26">
        <v>210.53136149235144</v>
      </c>
    </row>
    <row r="31" spans="1:11" x14ac:dyDescent="0.6">
      <c r="A31" s="3" t="s">
        <v>138</v>
      </c>
      <c r="B31" t="s">
        <v>144</v>
      </c>
      <c r="C31" s="26">
        <v>24.310264400735289</v>
      </c>
      <c r="D31" s="26">
        <v>26.26420705952081</v>
      </c>
      <c r="E31" s="26">
        <v>32.406079027639883</v>
      </c>
    </row>
    <row r="32" spans="1:11" x14ac:dyDescent="0.6">
      <c r="C32" s="26"/>
      <c r="D32" s="26"/>
      <c r="E32" s="26"/>
    </row>
    <row r="33" spans="1:5" x14ac:dyDescent="0.6">
      <c r="A33" s="2" t="s">
        <v>145</v>
      </c>
      <c r="B33" s="1" t="s">
        <v>146</v>
      </c>
      <c r="C33" s="36">
        <v>17630498766</v>
      </c>
      <c r="D33" s="36">
        <v>17256048456</v>
      </c>
      <c r="E33" s="36">
        <v>33880146541</v>
      </c>
    </row>
    <row r="34" spans="1:5" x14ac:dyDescent="0.6">
      <c r="A34" s="3" t="s">
        <v>145</v>
      </c>
      <c r="B34" t="s">
        <v>147</v>
      </c>
      <c r="C34" s="26">
        <v>0.24893931750827292</v>
      </c>
      <c r="D34" s="26">
        <v>0.22970957440961173</v>
      </c>
      <c r="E34" s="26">
        <v>0.51044095586784544</v>
      </c>
    </row>
    <row r="35" spans="1:5" x14ac:dyDescent="0.6">
      <c r="A35" s="2" t="s">
        <v>145</v>
      </c>
      <c r="B35" s="1" t="s">
        <v>148</v>
      </c>
      <c r="C35" s="36">
        <v>12433939591</v>
      </c>
      <c r="D35" s="36">
        <v>12455172751</v>
      </c>
      <c r="E35" s="36">
        <v>27455373019</v>
      </c>
    </row>
    <row r="36" spans="1:5" x14ac:dyDescent="0.6">
      <c r="A36" s="2" t="s">
        <v>145</v>
      </c>
      <c r="B36" s="37" t="s">
        <v>149</v>
      </c>
      <c r="C36" s="36">
        <v>-4431045821</v>
      </c>
      <c r="D36" s="36">
        <v>-4583580736</v>
      </c>
      <c r="E36" s="36">
        <v>-6235817210</v>
      </c>
    </row>
    <row r="37" spans="1:5" x14ac:dyDescent="0.6">
      <c r="A37" s="2" t="s">
        <v>145</v>
      </c>
      <c r="B37" s="37" t="s">
        <v>150</v>
      </c>
      <c r="C37" s="36">
        <v>-1481869370</v>
      </c>
      <c r="D37" s="36">
        <v>4130094189</v>
      </c>
      <c r="E37" s="36">
        <v>95866533</v>
      </c>
    </row>
    <row r="38" spans="1:5" x14ac:dyDescent="0.6">
      <c r="A38" s="3" t="s">
        <v>145</v>
      </c>
      <c r="B38" t="s">
        <v>151</v>
      </c>
      <c r="C38" s="26">
        <v>0.24893931750827292</v>
      </c>
      <c r="D38" s="26">
        <v>0.22970957440961173</v>
      </c>
      <c r="E38" s="26">
        <v>0.51044095586784544</v>
      </c>
    </row>
  </sheetData>
  <mergeCells count="1">
    <mergeCell ref="G7:K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A5D-A1AE-48AF-9374-6178EA822B5F}">
  <dimension ref="A1:N39"/>
  <sheetViews>
    <sheetView topLeftCell="A39" zoomScale="73" zoomScaleNormal="115" workbookViewId="0">
      <selection activeCell="A2" sqref="A2:E39"/>
    </sheetView>
  </sheetViews>
  <sheetFormatPr defaultRowHeight="20.399999999999999" x14ac:dyDescent="0.6"/>
  <cols>
    <col min="1" max="1" width="17.08984375" bestFit="1" customWidth="1"/>
    <col min="2" max="2" width="31.81640625" bestFit="1" customWidth="1"/>
    <col min="3" max="3" width="19.54296875" bestFit="1" customWidth="1"/>
    <col min="4" max="4" width="19.08984375" bestFit="1" customWidth="1"/>
    <col min="5" max="5" width="19.26953125" bestFit="1" customWidth="1"/>
    <col min="6" max="6" width="19.26953125" customWidth="1"/>
    <col min="7" max="7" width="18.54296875" bestFit="1" customWidth="1"/>
    <col min="8" max="8" width="19.08984375" bestFit="1" customWidth="1"/>
    <col min="9" max="9" width="18.6328125" bestFit="1" customWidth="1"/>
    <col min="10" max="10" width="17.81640625" customWidth="1"/>
    <col min="11" max="11" width="16.08984375" customWidth="1"/>
    <col min="12" max="12" width="13.7265625" customWidth="1"/>
  </cols>
  <sheetData>
    <row r="1" spans="1:14" x14ac:dyDescent="0.6">
      <c r="A1" s="73" t="s">
        <v>154</v>
      </c>
      <c r="B1" s="72"/>
      <c r="C1" s="72"/>
      <c r="D1" s="72"/>
      <c r="E1" s="72"/>
      <c r="F1" s="72"/>
      <c r="G1" s="72"/>
    </row>
    <row r="2" spans="1:14" x14ac:dyDescent="0.6">
      <c r="A2" t="s">
        <v>152</v>
      </c>
      <c r="B2" s="3"/>
      <c r="C2" s="24">
        <v>2025</v>
      </c>
      <c r="D2" s="24">
        <v>2024</v>
      </c>
      <c r="E2" s="24">
        <v>2023</v>
      </c>
      <c r="F2" s="24"/>
      <c r="G2" s="25"/>
    </row>
    <row r="3" spans="1:14" x14ac:dyDescent="0.6">
      <c r="B3" s="3" t="s">
        <v>161</v>
      </c>
      <c r="C3" s="40">
        <f>'Profit or loss'!B2</f>
        <v>70822475704</v>
      </c>
      <c r="D3" s="40">
        <f>'Profit or loss'!C2</f>
        <v>75121154616</v>
      </c>
      <c r="E3" s="40">
        <f>'Profit or loss'!D2</f>
        <v>66374271405</v>
      </c>
      <c r="F3" s="40"/>
      <c r="G3" s="25"/>
    </row>
    <row r="4" spans="1:14" x14ac:dyDescent="0.6">
      <c r="B4" s="3" t="s">
        <v>160</v>
      </c>
      <c r="C4" s="40">
        <f>'Profit or loss'!B22</f>
        <v>10366160364</v>
      </c>
      <c r="D4" s="40">
        <f>'Profit or loss'!C22</f>
        <v>13565259328</v>
      </c>
      <c r="E4" s="40">
        <f>'Profit or loss'!D22</f>
        <v>7826780005</v>
      </c>
      <c r="F4" s="40"/>
      <c r="G4" s="25"/>
    </row>
    <row r="5" spans="1:14" x14ac:dyDescent="0.6">
      <c r="A5" s="3" t="s">
        <v>112</v>
      </c>
      <c r="B5" t="s">
        <v>114</v>
      </c>
      <c r="C5" s="5">
        <f>('Profit or loss'!B2-'Profit or loss'!C2)/'Profit or loss'!C2</f>
        <v>-5.7223280632116742E-2</v>
      </c>
      <c r="D5" s="5">
        <f>('Profit or loss'!C2-'Profit or loss'!D2)/'Profit or loss'!D2</f>
        <v>0.13178123127903885</v>
      </c>
      <c r="E5" s="5">
        <f>('Profit or loss'!D2-'Profit or loss'!E2)/'Profit or loss'!E2</f>
        <v>-0.18740321744575122</v>
      </c>
      <c r="F5" s="5"/>
      <c r="G5" s="74" t="s">
        <v>186</v>
      </c>
      <c r="H5" s="74"/>
      <c r="I5" s="74"/>
      <c r="K5" t="s">
        <v>158</v>
      </c>
      <c r="L5" s="48">
        <f>_xlfn.XLOOKUP(Dashboard!$C$3,KPI!$C$2:$E$2,$C$3:$E$3)</f>
        <v>66374271405</v>
      </c>
    </row>
    <row r="6" spans="1:14" x14ac:dyDescent="0.6">
      <c r="A6" s="3" t="s">
        <v>112</v>
      </c>
      <c r="B6" t="s">
        <v>115</v>
      </c>
      <c r="C6" s="5">
        <f>('Profit or loss'!B4-'Profit or loss'!C4)/'Profit or loss'!C4</f>
        <v>-0.10880818976640015</v>
      </c>
      <c r="D6" s="5">
        <f>('Profit or loss'!C4-'Profit or loss'!D4)/'Profit or loss'!D4</f>
        <v>0.22681858532775909</v>
      </c>
      <c r="E6" s="5">
        <f>('Profit or loss'!D4-'Profit or loss'!E4)/'Profit or loss'!E4</f>
        <v>-0.11997283412465085</v>
      </c>
      <c r="F6" s="5"/>
      <c r="H6" s="24">
        <v>2025</v>
      </c>
      <c r="I6" s="24">
        <v>2024</v>
      </c>
      <c r="J6" s="24">
        <v>2023</v>
      </c>
      <c r="K6" t="s">
        <v>162</v>
      </c>
      <c r="L6" s="48">
        <f>_xlfn.XLOOKUP(Dashboard!$C$3,C2:E2,C4:E4)</f>
        <v>7826780005</v>
      </c>
    </row>
    <row r="7" spans="1:14" x14ac:dyDescent="0.6">
      <c r="A7" s="3" t="s">
        <v>112</v>
      </c>
      <c r="B7" t="s">
        <v>116</v>
      </c>
      <c r="C7" s="5">
        <f>('Profit or loss'!B9-'Profit or loss'!C9)/'Profit or loss'!C9</f>
        <v>-0.21150910228046627</v>
      </c>
      <c r="D7" s="5">
        <f>('Profit or loss'!C9-'Profit or loss'!D9)/'Profit or loss'!D9</f>
        <v>0.207376006449186</v>
      </c>
      <c r="E7" s="5">
        <f>('Profit or loss'!D9-'Profit or loss'!E9)/'Profit or loss'!E9</f>
        <v>-0.10269785991936016</v>
      </c>
      <c r="F7" s="5"/>
      <c r="G7" t="s">
        <v>166</v>
      </c>
      <c r="H7" s="46">
        <f>'Cash flow'!B12</f>
        <v>17630498766</v>
      </c>
      <c r="I7" s="46">
        <f>'Cash flow'!C12</f>
        <v>17256048456</v>
      </c>
      <c r="J7" s="46">
        <f>'Cash flow'!D12</f>
        <v>33880146541</v>
      </c>
      <c r="K7" t="s">
        <v>159</v>
      </c>
      <c r="L7" s="39">
        <f>_xlfn.XLOOKUP(Dashboard!$C$3,$C$2:$E$2,C15:E15)</f>
        <v>0.11791888391878311</v>
      </c>
    </row>
    <row r="8" spans="1:14" x14ac:dyDescent="0.6">
      <c r="A8" s="3" t="s">
        <v>112</v>
      </c>
      <c r="B8" t="s">
        <v>117</v>
      </c>
      <c r="C8" s="5">
        <f>('Profit or loss'!B22-'Profit or loss'!C22)/'Profit or loss'!C22</f>
        <v>-0.23583028430549441</v>
      </c>
      <c r="D8" s="5">
        <f>('Profit or loss'!C22-'Profit or loss'!D22)/'Profit or loss'!D22</f>
        <v>0.73318520762485639</v>
      </c>
      <c r="E8" s="5">
        <f>('Profit or loss'!D22-'Profit or loss'!E22)/'Profit or loss'!E22</f>
        <v>-0.35667572348948701</v>
      </c>
      <c r="F8" s="5"/>
      <c r="G8" t="s">
        <v>167</v>
      </c>
      <c r="H8" s="46">
        <f>'Cash flow'!B21</f>
        <v>-4431045821</v>
      </c>
      <c r="I8" s="46">
        <f>'Cash flow'!C21</f>
        <v>-4583580736</v>
      </c>
      <c r="J8" s="46">
        <f>'Cash flow'!D21</f>
        <v>-6235817210</v>
      </c>
      <c r="K8" t="s">
        <v>163</v>
      </c>
      <c r="L8" s="39">
        <f>_xlfn.XLOOKUP(Dashboard!$C$3,$C$2:$E$2,$C$17:$E$17)</f>
        <v>7.616991265363611E-2</v>
      </c>
    </row>
    <row r="9" spans="1:14" x14ac:dyDescent="0.6">
      <c r="A9" s="3" t="s">
        <v>112</v>
      </c>
      <c r="B9" t="s">
        <v>118</v>
      </c>
      <c r="C9" s="5">
        <f>('Financial Statement'!B17-'Financial Statement'!C17)/'Financial Statement'!C17</f>
        <v>2.3106388553824427E-3</v>
      </c>
      <c r="D9" s="5">
        <f>('Financial Statement'!C17-'Financial Statement'!D17)/'Financial Statement'!D17</f>
        <v>7.7515733001668183E-2</v>
      </c>
      <c r="E9" s="5">
        <f>('Financial Statement'!D17-'Financial Statement'!E17)/'Financial Statement'!E17</f>
        <v>-8.5344854874271986E-2</v>
      </c>
      <c r="F9" s="5"/>
      <c r="G9" t="s">
        <v>168</v>
      </c>
      <c r="H9" s="46">
        <f>'Cash flow'!B30</f>
        <v>-14681322315</v>
      </c>
      <c r="I9" s="46">
        <f>'Cash flow'!C30</f>
        <v>-8542373532</v>
      </c>
      <c r="J9" s="46">
        <f>'Cash flow'!D30</f>
        <v>-27548462798</v>
      </c>
      <c r="K9" t="s">
        <v>164</v>
      </c>
      <c r="L9" s="47">
        <f>_xlfn.XLOOKUP(Dashboard!$C$3,C2:E2,C34:E34)</f>
        <v>33880146541</v>
      </c>
    </row>
    <row r="10" spans="1:14" x14ac:dyDescent="0.6">
      <c r="A10" s="3" t="s">
        <v>112</v>
      </c>
      <c r="B10" t="s">
        <v>119</v>
      </c>
      <c r="C10" s="5">
        <f>('Financial Statement'!B24-'Financial Statement'!C24)/'Financial Statement'!C24</f>
        <v>5.3891405099994856E-2</v>
      </c>
      <c r="D10" s="5">
        <f>('Financial Statement'!C24-'Financial Statement'!D24)/'Financial Statement'!D24</f>
        <v>0.10350144584423339</v>
      </c>
      <c r="E10" s="5">
        <f>('Financial Statement'!D24-'Financial Statement'!E24)/'Financial Statement'!E24</f>
        <v>2.7024299830439077E-2</v>
      </c>
      <c r="F10" s="5"/>
      <c r="K10" t="s">
        <v>165</v>
      </c>
      <c r="L10" s="27">
        <f>_xlfn.XLOOKUP(Dashboard!$C$3,$C$2:$E$2,$C$23:$E$23)</f>
        <v>0.29711006791171046</v>
      </c>
    </row>
    <row r="11" spans="1:14" x14ac:dyDescent="0.6">
      <c r="A11" s="3" t="s">
        <v>112</v>
      </c>
      <c r="B11" t="s">
        <v>120</v>
      </c>
      <c r="C11" s="5">
        <f>('Cash flow'!B12-'Cash flow'!C12)/'Cash flow'!C12</f>
        <v>2.1699655686224159E-2</v>
      </c>
      <c r="D11" s="5">
        <f>('Cash flow'!C12-'Cash flow'!D12)/'Cash flow'!D12</f>
        <v>-0.4906737361623385</v>
      </c>
      <c r="E11" s="5">
        <f>ABS(('Cash flow'!D12-'Cash flow'!E12)/'Cash flow'!E12)</f>
        <v>15.141978723396546</v>
      </c>
      <c r="F11" s="5"/>
    </row>
    <row r="12" spans="1:14" x14ac:dyDescent="0.6">
      <c r="B12" s="3" t="s">
        <v>126</v>
      </c>
      <c r="C12" s="24"/>
      <c r="D12" s="24"/>
      <c r="E12" s="24"/>
      <c r="F12" s="24"/>
    </row>
    <row r="13" spans="1:14" x14ac:dyDescent="0.6">
      <c r="A13" s="3" t="s">
        <v>153</v>
      </c>
      <c r="B13" t="s">
        <v>122</v>
      </c>
      <c r="C13">
        <f>'Profit or loss'!B4/'Profit or loss'!B2</f>
        <v>0.36049004243659954</v>
      </c>
      <c r="D13">
        <f>'Profit or loss'!C4/'Profit or loss'!C2</f>
        <v>0.3813563092372691</v>
      </c>
      <c r="E13">
        <f>'Profit or loss'!D4/'Profit or loss'!D2</f>
        <v>0.35181396694383799</v>
      </c>
      <c r="L13">
        <v>2023</v>
      </c>
      <c r="M13">
        <v>2024</v>
      </c>
      <c r="N13">
        <v>2025</v>
      </c>
    </row>
    <row r="14" spans="1:14" x14ac:dyDescent="0.6">
      <c r="A14" s="3" t="s">
        <v>153</v>
      </c>
      <c r="B14" t="s">
        <v>123</v>
      </c>
      <c r="C14">
        <f>('Profit or loss'!B9/'Profit or loss'!B2)</f>
        <v>0.20927373154738368</v>
      </c>
      <c r="D14">
        <f>('Profit or loss'!C9/'Profit or loss'!C2)</f>
        <v>0.25022280237951022</v>
      </c>
      <c r="E14">
        <f>('Profit or loss'!D9/'Profit or loss'!D2)</f>
        <v>0.23455615306124805</v>
      </c>
      <c r="K14" t="s">
        <v>161</v>
      </c>
      <c r="L14" s="41">
        <v>66374271405</v>
      </c>
      <c r="M14" s="41">
        <v>75121154616</v>
      </c>
      <c r="N14" s="41">
        <v>70822475704</v>
      </c>
    </row>
    <row r="15" spans="1:14" x14ac:dyDescent="0.6">
      <c r="A15" s="3" t="s">
        <v>153</v>
      </c>
      <c r="B15" t="s">
        <v>121</v>
      </c>
      <c r="C15">
        <f>'Profit or loss'!B22/'Profit or loss'!B2</f>
        <v>0.14636822930795296</v>
      </c>
      <c r="D15">
        <f>'Profit or loss'!C22/'Profit or loss'!C2</f>
        <v>0.18057841891997151</v>
      </c>
      <c r="E15">
        <f>'Profit or loss'!D22/'Profit or loss'!D2</f>
        <v>0.11791888391878311</v>
      </c>
      <c r="K15" t="s">
        <v>160</v>
      </c>
      <c r="L15" s="41">
        <v>7826780005</v>
      </c>
      <c r="M15" s="41">
        <v>13565259328</v>
      </c>
      <c r="N15" s="41">
        <v>10366160364</v>
      </c>
    </row>
    <row r="16" spans="1:14" x14ac:dyDescent="0.6">
      <c r="A16" s="3" t="s">
        <v>153</v>
      </c>
      <c r="B16" t="s">
        <v>124</v>
      </c>
      <c r="C16">
        <f>('Profit or loss'!B22/AVERAGE('Financial Statement'!B17,'Financial Statement'!C17))</f>
        <v>6.5844541778153423E-2</v>
      </c>
      <c r="D16">
        <f>('Profit or loss'!C22/AVERAGE('Financial Statement'!C17,'Financial Statement'!D17))</f>
        <v>8.9483036070302738E-2</v>
      </c>
      <c r="E16">
        <f>('Profit or loss'!D22/AVERAGE('Financial Statement'!D17,'Financial Statement'!E17))</f>
        <v>5.1239735240871574E-2</v>
      </c>
    </row>
    <row r="17" spans="1:7" x14ac:dyDescent="0.6">
      <c r="A17" s="3" t="s">
        <v>153</v>
      </c>
      <c r="B17" t="s">
        <v>125</v>
      </c>
      <c r="C17">
        <f>'Profit or loss'!B22/AVERAGE('Financial Statement'!B24,'Financial Statement'!C24)</f>
        <v>8.7850877832632457E-2</v>
      </c>
      <c r="D17">
        <f>'Profit or loss'!C22/AVERAGE('Financial Statement'!C24,'Financial Statement'!D24)</f>
        <v>0.12386934815327685</v>
      </c>
      <c r="E17">
        <f>'Profit or loss'!D22/AVERAGE('Financial Statement'!D24,'Financial Statement'!E24)</f>
        <v>7.616991265363611E-2</v>
      </c>
    </row>
    <row r="18" spans="1:7" x14ac:dyDescent="0.6">
      <c r="C18" s="5"/>
      <c r="D18" s="5"/>
      <c r="E18" s="5"/>
      <c r="F18" s="5"/>
    </row>
    <row r="19" spans="1:7" x14ac:dyDescent="0.6">
      <c r="A19" s="3" t="s">
        <v>127</v>
      </c>
      <c r="B19" t="s">
        <v>128</v>
      </c>
      <c r="C19" s="26">
        <f>('Financial Statement'!B16/'Financial Statement'!B38)</f>
        <v>2.5500821502295117</v>
      </c>
      <c r="D19" s="26">
        <f>('Financial Statement'!C16/'Financial Statement'!C38)</f>
        <v>2.2279701085767845</v>
      </c>
      <c r="E19" s="26">
        <f>('Financial Statement'!D16/'Financial Statement'!D38)</f>
        <v>1.9635200419940688</v>
      </c>
      <c r="F19" s="26"/>
      <c r="G19" s="26"/>
    </row>
    <row r="20" spans="1:7" x14ac:dyDescent="0.6">
      <c r="A20" s="3" t="s">
        <v>127</v>
      </c>
      <c r="B20" t="s">
        <v>129</v>
      </c>
      <c r="C20" s="26">
        <f>('Financial Statement'!B16-'Financial Statement'!B10)/'Financial Statement'!B38</f>
        <v>1.5133754380270465</v>
      </c>
      <c r="D20" s="26">
        <f>('Financial Statement'!C16-'Financial Statement'!C10)/'Financial Statement'!C38</f>
        <v>1.4870534309540404</v>
      </c>
      <c r="E20" s="26">
        <f>('Financial Statement'!D16-'Financial Statement'!D10)/'Financial Statement'!D38</f>
        <v>1.2413323867127091</v>
      </c>
      <c r="F20" s="26"/>
      <c r="G20" s="26"/>
    </row>
    <row r="21" spans="1:7" x14ac:dyDescent="0.6">
      <c r="A21" s="3" t="s">
        <v>127</v>
      </c>
      <c r="B21" t="s">
        <v>130</v>
      </c>
      <c r="C21" s="26">
        <f>('Financial Statement'!B15/'Financial Statement'!B38)</f>
        <v>0.17712028555977555</v>
      </c>
      <c r="D21" s="26">
        <f>('Financial Statement'!C15/'Financial Statement'!C38)</f>
        <v>0.18527615732914049</v>
      </c>
      <c r="E21" s="26">
        <f>('Financial Statement'!D15/'Financial Statement'!D38)</f>
        <v>6.8261792508137742E-2</v>
      </c>
      <c r="F21" s="26"/>
      <c r="G21" s="26"/>
    </row>
    <row r="22" spans="1:7" x14ac:dyDescent="0.6">
      <c r="C22" s="5"/>
      <c r="D22" s="5"/>
      <c r="E22" s="5"/>
      <c r="F22" s="5"/>
    </row>
    <row r="23" spans="1:7" x14ac:dyDescent="0.6">
      <c r="A23" s="3" t="s">
        <v>132</v>
      </c>
      <c r="B23" t="s">
        <v>133</v>
      </c>
      <c r="C23" s="26">
        <f>'Financial Statement'!B42/'Financial Statement'!B24</f>
        <v>0.2184905162868353</v>
      </c>
      <c r="D23" s="26">
        <f>'Financial Statement'!C42/'Financial Statement'!C24</f>
        <v>0.25710391635759666</v>
      </c>
      <c r="E23" s="26">
        <f>'Financial Statement'!D42/'Financial Statement'!D24</f>
        <v>0.29711006791171046</v>
      </c>
      <c r="F23" s="26"/>
      <c r="G23" s="26"/>
    </row>
    <row r="24" spans="1:7" x14ac:dyDescent="0.6">
      <c r="A24" s="3" t="s">
        <v>132</v>
      </c>
      <c r="B24" t="s">
        <v>134</v>
      </c>
      <c r="C24" s="26">
        <f>'Financial Statement'!B42/'Financial Statement'!B17</f>
        <v>0.16786253024075137</v>
      </c>
      <c r="D24" s="26">
        <f>'Financial Statement'!C42/'Financial Statement'!C17</f>
        <v>0.18786087626238024</v>
      </c>
      <c r="E24" s="26">
        <f>'Financial Statement'!D42/'Financial Statement'!D17</f>
        <v>0.21198041292411302</v>
      </c>
      <c r="F24" s="26"/>
      <c r="G24" s="26"/>
    </row>
    <row r="25" spans="1:7" x14ac:dyDescent="0.6">
      <c r="A25" s="3" t="s">
        <v>132</v>
      </c>
      <c r="B25" t="s">
        <v>136</v>
      </c>
      <c r="C25" s="26">
        <f>'Profit or loss'!B29/ABS('Profit or loss'!B11)</f>
        <v>3.42954963552264</v>
      </c>
      <c r="D25" s="26">
        <f>'Profit or loss'!C29/ABS('Profit or loss'!C11)</f>
        <v>4.1108011278817695</v>
      </c>
      <c r="E25" s="26">
        <f>'Profit or loss'!D29/ABS('Profit or loss'!D11)</f>
        <v>2.0969880191278722</v>
      </c>
      <c r="F25" s="26"/>
      <c r="G25" s="26"/>
    </row>
    <row r="26" spans="1:7" x14ac:dyDescent="0.6">
      <c r="C26" s="26"/>
      <c r="D26" s="26"/>
      <c r="E26" s="26"/>
      <c r="F26" s="26"/>
      <c r="G26" s="27"/>
    </row>
    <row r="27" spans="1:7" x14ac:dyDescent="0.6">
      <c r="A27" s="3" t="s">
        <v>138</v>
      </c>
      <c r="B27" t="s">
        <v>139</v>
      </c>
      <c r="C27" s="26">
        <f>('Profit or loss'!B2/AVERAGE('Financial Statement'!B17,'Financial Statement'!C17))</f>
        <v>0.44985542347184582</v>
      </c>
      <c r="D27" s="26">
        <f>('Profit or loss'!C2/AVERAGE('Financial Statement'!C17,'Financial Statement'!D17))</f>
        <v>0.49553560500471378</v>
      </c>
      <c r="E27" s="26">
        <f>('Profit or loss'!D2/AVERAGE('Financial Statement'!D17,'Financial Statement'!E17))</f>
        <v>0.43453375352639073</v>
      </c>
      <c r="F27" s="26"/>
      <c r="G27" s="27"/>
    </row>
    <row r="28" spans="1:7" x14ac:dyDescent="0.6">
      <c r="A28" s="3" t="s">
        <v>138</v>
      </c>
      <c r="B28" t="s">
        <v>140</v>
      </c>
      <c r="C28" s="26">
        <f>ABS('Profit or loss'!B3)/AVERAGE('Financial Statement'!B10,'Financial Statement'!C10)</f>
        <v>1.6224445660618705</v>
      </c>
      <c r="D28" s="26">
        <f>ABS('Profit or loss'!C3)/AVERAGE('Financial Statement'!C10,'Financial Statement'!D10)</f>
        <v>1.7958517495913413</v>
      </c>
      <c r="E28" s="26">
        <f>ABS('Profit or loss'!D3)/AVERAGE('Financial Statement'!D10,'Financial Statement'!E10)</f>
        <v>1.3929762984104919</v>
      </c>
      <c r="F28" s="26"/>
      <c r="G28" s="27"/>
    </row>
    <row r="29" spans="1:7" x14ac:dyDescent="0.6">
      <c r="A29" s="3" t="s">
        <v>138</v>
      </c>
      <c r="B29" t="s">
        <v>141</v>
      </c>
      <c r="C29" s="26">
        <f>365/C28</f>
        <v>224.96916544024535</v>
      </c>
      <c r="D29" s="26">
        <f t="shared" ref="D29:E29" si="0">365/D28</f>
        <v>203.24617557270989</v>
      </c>
      <c r="E29" s="26">
        <f t="shared" si="0"/>
        <v>262.0288661167437</v>
      </c>
      <c r="F29" s="26"/>
      <c r="G29" s="27"/>
    </row>
    <row r="30" spans="1:7" x14ac:dyDescent="0.6">
      <c r="A30" s="3" t="s">
        <v>138</v>
      </c>
      <c r="B30" t="s">
        <v>142</v>
      </c>
      <c r="C30" s="26">
        <f>'Profit or loss'!B2/AVERAGE('Financial Statement'!B11,'Financial Statement'!C11)</f>
        <v>1.9320612062990348</v>
      </c>
      <c r="D30" s="26">
        <f>'Profit or loss'!C2/AVERAGE('Financial Statement'!C11,'Financial Statement'!D11)</f>
        <v>2.0889740366529002</v>
      </c>
      <c r="E30" s="26">
        <f>'Profit or loss'!D2/AVERAGE('Financial Statement'!D11,'Financial Statement'!E11)</f>
        <v>1.7337084480558986</v>
      </c>
      <c r="F30" s="26"/>
      <c r="G30" s="27"/>
    </row>
    <row r="31" spans="1:7" x14ac:dyDescent="0.6">
      <c r="A31" s="3" t="s">
        <v>138</v>
      </c>
      <c r="B31" t="s">
        <v>143</v>
      </c>
      <c r="C31" s="26">
        <f>365/C30</f>
        <v>188.91741048886166</v>
      </c>
      <c r="D31" s="26">
        <f t="shared" ref="D31:E31" si="1">365/D30</f>
        <v>174.72692029472441</v>
      </c>
      <c r="E31" s="26">
        <f t="shared" si="1"/>
        <v>210.53136149235144</v>
      </c>
      <c r="F31" s="26"/>
      <c r="G31" s="27"/>
    </row>
    <row r="32" spans="1:7" x14ac:dyDescent="0.6">
      <c r="A32" s="3" t="s">
        <v>138</v>
      </c>
      <c r="B32" t="s">
        <v>144</v>
      </c>
      <c r="C32" s="26">
        <f>(AVERAGE('Financial Statement'!B32,'Financial Statement'!C32)/ABS('Profit or loss'!B3))*365</f>
        <v>24.310264400735289</v>
      </c>
      <c r="D32" s="26">
        <f>(AVERAGE('Financial Statement'!C32,'Financial Statement'!D32)/ABS('Profit or loss'!C3))*365</f>
        <v>26.26420705952081</v>
      </c>
      <c r="E32" s="26">
        <f>(AVERAGE('Financial Statement'!D32,'Financial Statement'!E32)/ABS('Profit or loss'!D3))*365</f>
        <v>32.406079027639883</v>
      </c>
      <c r="F32" s="26"/>
      <c r="G32" s="27"/>
    </row>
    <row r="33" spans="1:7" x14ac:dyDescent="0.6">
      <c r="C33" s="26"/>
      <c r="D33" s="26"/>
      <c r="E33" s="26"/>
      <c r="F33" s="26"/>
      <c r="G33" s="27"/>
    </row>
    <row r="34" spans="1:7" s="1" customFormat="1" x14ac:dyDescent="0.6">
      <c r="A34" s="2" t="s">
        <v>145</v>
      </c>
      <c r="B34" s="1" t="s">
        <v>146</v>
      </c>
      <c r="C34" s="36">
        <f>'Cash flow'!B12</f>
        <v>17630498766</v>
      </c>
      <c r="D34" s="36">
        <f>'Cash flow'!C12</f>
        <v>17256048456</v>
      </c>
      <c r="E34" s="36">
        <f>'Cash flow'!D12</f>
        <v>33880146541</v>
      </c>
      <c r="F34" s="36"/>
      <c r="G34" s="36"/>
    </row>
    <row r="35" spans="1:7" x14ac:dyDescent="0.6">
      <c r="A35" s="3" t="s">
        <v>145</v>
      </c>
      <c r="B35" t="s">
        <v>147</v>
      </c>
      <c r="C35" s="26">
        <f>C34/'Profit or loss'!B2</f>
        <v>0.24893931750827292</v>
      </c>
      <c r="D35" s="26">
        <f>D34/'Profit or loss'!C2</f>
        <v>0.22970957440961173</v>
      </c>
      <c r="E35" s="26">
        <f>E34/'Profit or loss'!D2</f>
        <v>0.51044095586784544</v>
      </c>
      <c r="F35" s="26"/>
      <c r="G35" s="26"/>
    </row>
    <row r="36" spans="1:7" s="1" customFormat="1" x14ac:dyDescent="0.6">
      <c r="A36" s="2" t="s">
        <v>145</v>
      </c>
      <c r="B36" s="1" t="s">
        <v>148</v>
      </c>
      <c r="C36" s="36">
        <f>C34-ABS('Cash flow'!B14)</f>
        <v>12433939591</v>
      </c>
      <c r="D36" s="36">
        <f>D34-ABS('Cash flow'!C14)</f>
        <v>12455172751</v>
      </c>
      <c r="E36" s="36">
        <f>E34-ABS('Cash flow'!D14)</f>
        <v>27455373019</v>
      </c>
      <c r="F36" s="36"/>
      <c r="G36" s="36"/>
    </row>
    <row r="37" spans="1:7" s="1" customFormat="1" ht="43.8" customHeight="1" x14ac:dyDescent="0.6">
      <c r="A37" s="2" t="s">
        <v>145</v>
      </c>
      <c r="B37" s="37" t="s">
        <v>149</v>
      </c>
      <c r="C37" s="36">
        <f>'Cash flow'!B21</f>
        <v>-4431045821</v>
      </c>
      <c r="D37" s="36">
        <f>'Cash flow'!C21</f>
        <v>-4583580736</v>
      </c>
      <c r="E37" s="36">
        <f>'Cash flow'!D21</f>
        <v>-6235817210</v>
      </c>
      <c r="F37" s="36"/>
      <c r="G37" s="36"/>
    </row>
    <row r="38" spans="1:7" s="1" customFormat="1" ht="38.4" customHeight="1" x14ac:dyDescent="0.6">
      <c r="A38" s="2" t="s">
        <v>145</v>
      </c>
      <c r="B38" s="37" t="s">
        <v>150</v>
      </c>
      <c r="C38" s="36">
        <f>'Cash flow'!B31</f>
        <v>-1481869370</v>
      </c>
      <c r="D38" s="36">
        <f>'Cash flow'!C31</f>
        <v>4130094189</v>
      </c>
      <c r="E38" s="36">
        <f>'Cash flow'!D31</f>
        <v>95866533</v>
      </c>
      <c r="F38" s="36"/>
      <c r="G38" s="36"/>
    </row>
    <row r="39" spans="1:7" x14ac:dyDescent="0.6">
      <c r="A39" s="3" t="s">
        <v>145</v>
      </c>
      <c r="B39" t="s">
        <v>151</v>
      </c>
      <c r="C39" s="26">
        <f>Growth!B32/'Profit or loss'!B2</f>
        <v>0.24893931750827292</v>
      </c>
      <c r="D39" s="26">
        <f>Growth!C32/'Profit or loss'!C2</f>
        <v>0.22970957440961173</v>
      </c>
      <c r="E39" s="26">
        <f>Growth!D32/'Profit or loss'!D2</f>
        <v>0.51044095586784544</v>
      </c>
      <c r="F39" s="26"/>
      <c r="G39" s="26"/>
    </row>
  </sheetData>
  <mergeCells count="2">
    <mergeCell ref="A1:G1"/>
    <mergeCell ref="G5:I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05D63-9D77-4097-A45E-66DB2C8ED396}">
  <dimension ref="A1:AK13"/>
  <sheetViews>
    <sheetView topLeftCell="D1" zoomScale="115" zoomScaleNormal="115" workbookViewId="0">
      <selection activeCell="D20" sqref="D20"/>
    </sheetView>
  </sheetViews>
  <sheetFormatPr defaultRowHeight="20.399999999999999" x14ac:dyDescent="0.6"/>
  <cols>
    <col min="2" max="2" width="18.1796875" bestFit="1" customWidth="1"/>
    <col min="3" max="3" width="18" bestFit="1" customWidth="1"/>
    <col min="4" max="4" width="14.54296875" bestFit="1" customWidth="1"/>
    <col min="5" max="5" width="16.54296875" bestFit="1" customWidth="1"/>
    <col min="6" max="6" width="20.1796875" bestFit="1" customWidth="1"/>
    <col min="7" max="7" width="14.90625" bestFit="1" customWidth="1"/>
    <col min="8" max="8" width="11.54296875" bestFit="1" customWidth="1"/>
    <col min="9" max="9" width="12.08984375" bestFit="1" customWidth="1"/>
    <col min="10" max="10" width="24" bestFit="1" customWidth="1"/>
    <col min="18" max="18" width="11.54296875" bestFit="1" customWidth="1"/>
    <col min="19" max="19" width="9.08984375" bestFit="1" customWidth="1"/>
    <col min="20" max="20" width="8.90625" bestFit="1" customWidth="1"/>
    <col min="21" max="21" width="17.08984375" bestFit="1" customWidth="1"/>
    <col min="22" max="22" width="8.81640625" bestFit="1" customWidth="1"/>
  </cols>
  <sheetData>
    <row r="1" spans="1:37" x14ac:dyDescent="0.6">
      <c r="A1" t="s">
        <v>152</v>
      </c>
      <c r="D1" s="3" t="s">
        <v>112</v>
      </c>
      <c r="E1" s="3" t="s">
        <v>112</v>
      </c>
      <c r="F1" s="3" t="s">
        <v>112</v>
      </c>
      <c r="G1" s="3" t="s">
        <v>112</v>
      </c>
      <c r="H1" s="3" t="s">
        <v>112</v>
      </c>
      <c r="I1" s="3" t="s">
        <v>112</v>
      </c>
      <c r="J1" s="3" t="s">
        <v>112</v>
      </c>
      <c r="L1" s="3" t="s">
        <v>153</v>
      </c>
      <c r="M1" s="3" t="s">
        <v>153</v>
      </c>
      <c r="N1" s="3" t="s">
        <v>153</v>
      </c>
      <c r="O1" s="3" t="s">
        <v>153</v>
      </c>
      <c r="P1" s="3" t="s">
        <v>153</v>
      </c>
      <c r="R1" s="3" t="s">
        <v>127</v>
      </c>
      <c r="S1" s="3" t="s">
        <v>127</v>
      </c>
      <c r="T1" s="3" t="s">
        <v>127</v>
      </c>
      <c r="U1" s="3" t="s">
        <v>132</v>
      </c>
      <c r="V1" s="3" t="s">
        <v>132</v>
      </c>
      <c r="W1" s="3" t="s">
        <v>132</v>
      </c>
      <c r="Y1" s="3" t="s">
        <v>138</v>
      </c>
      <c r="Z1" s="3" t="s">
        <v>138</v>
      </c>
      <c r="AA1" s="3" t="s">
        <v>138</v>
      </c>
      <c r="AB1" s="3" t="s">
        <v>138</v>
      </c>
      <c r="AC1" s="3" t="s">
        <v>138</v>
      </c>
      <c r="AD1" s="3" t="s">
        <v>138</v>
      </c>
      <c r="AF1" s="2" t="s">
        <v>145</v>
      </c>
      <c r="AG1" s="3" t="s">
        <v>145</v>
      </c>
      <c r="AH1" s="2" t="s">
        <v>145</v>
      </c>
      <c r="AI1" s="2" t="s">
        <v>145</v>
      </c>
      <c r="AJ1" s="2" t="s">
        <v>145</v>
      </c>
      <c r="AK1" s="3" t="s">
        <v>145</v>
      </c>
    </row>
    <row r="2" spans="1:37" x14ac:dyDescent="0.6">
      <c r="A2" s="3" t="s">
        <v>113</v>
      </c>
      <c r="B2" s="3" t="s">
        <v>161</v>
      </c>
      <c r="C2" s="3" t="s">
        <v>160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s="3" t="s">
        <v>126</v>
      </c>
      <c r="L2" t="s">
        <v>122</v>
      </c>
      <c r="M2" t="s">
        <v>123</v>
      </c>
      <c r="N2" t="s">
        <v>121</v>
      </c>
      <c r="O2" t="s">
        <v>124</v>
      </c>
      <c r="P2" t="s">
        <v>125</v>
      </c>
      <c r="R2" t="s">
        <v>128</v>
      </c>
      <c r="S2" t="s">
        <v>129</v>
      </c>
      <c r="T2" t="s">
        <v>130</v>
      </c>
      <c r="U2" t="s">
        <v>133</v>
      </c>
      <c r="V2" t="s">
        <v>134</v>
      </c>
      <c r="W2" t="s">
        <v>136</v>
      </c>
      <c r="Y2" t="s">
        <v>139</v>
      </c>
      <c r="Z2" t="s">
        <v>140</v>
      </c>
      <c r="AA2" t="s">
        <v>141</v>
      </c>
      <c r="AB2" t="s">
        <v>142</v>
      </c>
      <c r="AC2" t="s">
        <v>143</v>
      </c>
      <c r="AD2" t="s">
        <v>144</v>
      </c>
      <c r="AF2" s="1" t="s">
        <v>146</v>
      </c>
      <c r="AG2" t="s">
        <v>147</v>
      </c>
      <c r="AH2" s="1" t="s">
        <v>148</v>
      </c>
      <c r="AI2" s="37" t="s">
        <v>149</v>
      </c>
      <c r="AJ2" s="37" t="s">
        <v>150</v>
      </c>
      <c r="AK2" t="s">
        <v>151</v>
      </c>
    </row>
    <row r="3" spans="1:37" x14ac:dyDescent="0.6">
      <c r="A3" s="24">
        <v>2025</v>
      </c>
      <c r="B3" s="38">
        <v>70822475704</v>
      </c>
      <c r="C3" s="38">
        <v>10366160364</v>
      </c>
      <c r="D3" s="5">
        <v>-5.7223280632116742E-2</v>
      </c>
      <c r="E3" s="5">
        <v>-0.10880818976640015</v>
      </c>
      <c r="F3" s="5">
        <v>-0.21150910228046627</v>
      </c>
      <c r="G3" s="5">
        <v>-0.23583028430549441</v>
      </c>
      <c r="H3" s="5">
        <v>2.3106388553824427E-3</v>
      </c>
      <c r="I3" s="5">
        <v>5.3891405099994856E-2</v>
      </c>
      <c r="J3" s="5">
        <v>2.1699655686224159E-2</v>
      </c>
      <c r="K3" s="24"/>
      <c r="L3">
        <v>0.36049004243659954</v>
      </c>
      <c r="M3">
        <v>0.20927373154738368</v>
      </c>
      <c r="N3">
        <v>0.14636822930795296</v>
      </c>
      <c r="O3">
        <v>6.5844541778153423E-2</v>
      </c>
      <c r="P3">
        <v>8.7850877832632457E-2</v>
      </c>
      <c r="Q3" s="5"/>
      <c r="R3" s="26">
        <v>2.5500821502295117</v>
      </c>
      <c r="S3" s="26">
        <v>1.5133754380270465</v>
      </c>
      <c r="T3" s="26">
        <v>0.17712028555977555</v>
      </c>
      <c r="U3" s="26">
        <v>0.2184905162868353</v>
      </c>
      <c r="V3" s="26">
        <v>0.16786253024075137</v>
      </c>
      <c r="W3" s="26">
        <v>3.42954963552264</v>
      </c>
      <c r="X3" s="26"/>
      <c r="Y3" s="26">
        <v>0.44985542347184582</v>
      </c>
      <c r="Z3" s="26">
        <v>1.6224445660618705</v>
      </c>
      <c r="AA3" s="26">
        <v>224.96916544024535</v>
      </c>
      <c r="AB3" s="26">
        <v>1.6224445660618705</v>
      </c>
      <c r="AC3" s="26">
        <v>224.96916544024535</v>
      </c>
      <c r="AD3" s="26">
        <v>24.310264400735289</v>
      </c>
      <c r="AE3" s="26"/>
      <c r="AF3" s="36">
        <v>17630498766</v>
      </c>
      <c r="AG3" s="26">
        <v>0.24893931750827292</v>
      </c>
      <c r="AH3" s="36">
        <v>12433939591</v>
      </c>
      <c r="AI3" s="36">
        <v>-4431045821</v>
      </c>
      <c r="AJ3" s="36">
        <v>-1481869370</v>
      </c>
      <c r="AK3" s="26">
        <v>0.24893931750827292</v>
      </c>
    </row>
    <row r="4" spans="1:37" x14ac:dyDescent="0.6">
      <c r="A4" s="24">
        <v>2024</v>
      </c>
      <c r="B4" s="38">
        <v>75121154616</v>
      </c>
      <c r="C4" s="38">
        <v>13565259328</v>
      </c>
      <c r="D4" s="5">
        <v>0.13178123127903885</v>
      </c>
      <c r="E4" s="5">
        <v>0.22681858532775909</v>
      </c>
      <c r="F4" s="5">
        <v>0.207376006449186</v>
      </c>
      <c r="G4" s="5">
        <v>0.73318520762485639</v>
      </c>
      <c r="H4" s="5">
        <v>7.7515733001668183E-2</v>
      </c>
      <c r="I4" s="5">
        <v>0.10350144584423339</v>
      </c>
      <c r="J4" s="5">
        <v>-0.4906737361623385</v>
      </c>
      <c r="K4" s="24"/>
      <c r="L4">
        <v>0.3813563092372691</v>
      </c>
      <c r="M4">
        <v>0.25022280237951022</v>
      </c>
      <c r="N4">
        <v>0.18057841891997151</v>
      </c>
      <c r="O4">
        <v>8.9483036070302738E-2</v>
      </c>
      <c r="P4">
        <v>0.12386934815327685</v>
      </c>
      <c r="Q4" s="5"/>
      <c r="R4" s="26">
        <v>2.2279701085767845</v>
      </c>
      <c r="S4" s="26">
        <v>1.4870534309540404</v>
      </c>
      <c r="T4" s="26">
        <v>0.18527615732914049</v>
      </c>
      <c r="U4" s="26">
        <v>0.25710391635759666</v>
      </c>
      <c r="V4" s="26">
        <v>0.18786087626238024</v>
      </c>
      <c r="W4" s="26">
        <v>4.1108011278817695</v>
      </c>
      <c r="X4" s="26"/>
      <c r="Y4" s="26">
        <v>0.49553560500471378</v>
      </c>
      <c r="Z4" s="26">
        <v>1.7958517495913413</v>
      </c>
      <c r="AA4" s="26">
        <v>203.24617557270989</v>
      </c>
      <c r="AB4" s="26">
        <v>2.0889740366529002</v>
      </c>
      <c r="AC4" s="26">
        <v>174.72692029472441</v>
      </c>
      <c r="AD4" s="26">
        <v>26.26420705952081</v>
      </c>
      <c r="AE4" s="26"/>
      <c r="AF4" s="36">
        <v>17256048456</v>
      </c>
      <c r="AG4" s="26">
        <v>0.22970957440961173</v>
      </c>
      <c r="AH4" s="36">
        <v>12455172751</v>
      </c>
      <c r="AI4" s="36">
        <v>-4583580736</v>
      </c>
      <c r="AJ4" s="36">
        <v>4130094189</v>
      </c>
      <c r="AK4" s="26">
        <v>0.22970957440961173</v>
      </c>
    </row>
    <row r="5" spans="1:37" x14ac:dyDescent="0.6">
      <c r="A5" s="24">
        <v>2023</v>
      </c>
      <c r="B5" s="38">
        <v>66374271405</v>
      </c>
      <c r="C5" s="38">
        <v>7826780005</v>
      </c>
      <c r="D5" s="5">
        <v>-0.18740321744575122</v>
      </c>
      <c r="E5" s="5">
        <v>-0.11997283412465085</v>
      </c>
      <c r="F5" s="5">
        <v>-0.10269785991936016</v>
      </c>
      <c r="G5" s="5">
        <v>-0.35667572348948701</v>
      </c>
      <c r="H5" s="5">
        <v>-8.5344854874271986E-2</v>
      </c>
      <c r="I5" s="5">
        <v>2.7024299830439077E-2</v>
      </c>
      <c r="J5" s="5">
        <v>15.141978723396546</v>
      </c>
      <c r="K5" s="24"/>
      <c r="L5">
        <v>0.35181396694383799</v>
      </c>
      <c r="M5">
        <v>0.23455615306124805</v>
      </c>
      <c r="N5">
        <v>0.11791888391878311</v>
      </c>
      <c r="O5">
        <v>5.1239735240871574E-2</v>
      </c>
      <c r="P5">
        <v>7.616991265363611E-2</v>
      </c>
      <c r="Q5" s="5"/>
      <c r="R5" s="26">
        <v>1.9635200419940688</v>
      </c>
      <c r="S5" s="26">
        <v>1.2413323867127091</v>
      </c>
      <c r="T5" s="26">
        <v>6.8261792508137742E-2</v>
      </c>
      <c r="U5" s="26">
        <v>0.29711006791171046</v>
      </c>
      <c r="V5" s="26">
        <v>0.21198041292411302</v>
      </c>
      <c r="W5" s="26">
        <v>2.0969880191278722</v>
      </c>
      <c r="X5" s="26"/>
      <c r="Y5" s="26">
        <v>0.43453375352639073</v>
      </c>
      <c r="Z5" s="26">
        <v>1.3929762984104919</v>
      </c>
      <c r="AA5" s="26">
        <v>262.0288661167437</v>
      </c>
      <c r="AB5" s="26">
        <v>1.7337084480558986</v>
      </c>
      <c r="AC5" s="26">
        <v>210.53136149235144</v>
      </c>
      <c r="AD5" s="26">
        <v>32.406079027639883</v>
      </c>
      <c r="AE5" s="26"/>
      <c r="AF5" s="36">
        <v>33880146541</v>
      </c>
      <c r="AG5" s="26">
        <v>0.51044095586784544</v>
      </c>
      <c r="AH5" s="36">
        <v>27455373019</v>
      </c>
      <c r="AI5" s="36">
        <v>-6235817210</v>
      </c>
      <c r="AJ5" s="36">
        <v>95866533</v>
      </c>
      <c r="AK5" s="26">
        <v>0.51044095586784544</v>
      </c>
    </row>
    <row r="10" spans="1:37" x14ac:dyDescent="0.6">
      <c r="G10" t="s">
        <v>122</v>
      </c>
      <c r="H10" t="s">
        <v>123</v>
      </c>
      <c r="I10" t="s">
        <v>121</v>
      </c>
    </row>
    <row r="11" spans="1:37" x14ac:dyDescent="0.6">
      <c r="F11" s="24">
        <v>2023</v>
      </c>
      <c r="G11" s="5">
        <v>0.35181396694383799</v>
      </c>
      <c r="H11" s="5">
        <v>0.23455615306124805</v>
      </c>
      <c r="I11" s="5">
        <v>0.11791888391878311</v>
      </c>
    </row>
    <row r="12" spans="1:37" x14ac:dyDescent="0.6">
      <c r="F12" s="24">
        <v>2024</v>
      </c>
      <c r="G12" s="5">
        <v>0.3813563092372691</v>
      </c>
      <c r="H12" s="5">
        <v>0.25022280237951022</v>
      </c>
      <c r="I12" s="5">
        <v>0.18057841891997151</v>
      </c>
    </row>
    <row r="13" spans="1:37" x14ac:dyDescent="0.6">
      <c r="F13" s="24">
        <v>2025</v>
      </c>
      <c r="G13" s="5">
        <v>0.36049004243659954</v>
      </c>
      <c r="H13" s="5">
        <v>0.20927373154738368</v>
      </c>
      <c r="I13" s="5">
        <v>0.14636822930795296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F2C01A-3B1C-49F7-A25C-137582133D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Key_P_I</vt:lpstr>
      <vt:lpstr>Profit or loss</vt:lpstr>
      <vt:lpstr>Financial Statement</vt:lpstr>
      <vt:lpstr>Cash flow</vt:lpstr>
      <vt:lpstr>Growth</vt:lpstr>
      <vt:lpstr>Calc</vt:lpstr>
      <vt:lpstr>KPI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Rodrigues</dc:creator>
  <cp:lastModifiedBy>Joy Rodrigues</cp:lastModifiedBy>
  <dcterms:created xsi:type="dcterms:W3CDTF">2026-09-22T14:23:44Z</dcterms:created>
  <dcterms:modified xsi:type="dcterms:W3CDTF">2026-09-23T12:18:32Z</dcterms:modified>
</cp:coreProperties>
</file>